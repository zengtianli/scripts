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li/Downloads/zdwp/浙东_代码/需求端/河区调度模型/hqdd/"/>
    </mc:Choice>
  </mc:AlternateContent>
  <xr:revisionPtr revIDLastSave="0" documentId="13_ncr:1_{2631D277-2E65-C14F-B242-68B2C190BB16}" xr6:coauthVersionLast="47" xr6:coauthVersionMax="47" xr10:uidLastSave="{00000000-0000-0000-0000-000000000000}"/>
  <bookViews>
    <workbookView xWindow="0" yWindow="1160" windowWidth="51200" windowHeight="321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2" i="1"/>
</calcChain>
</file>

<file path=xl/sharedStrings.xml><?xml version="1.0" encoding="utf-8"?>
<sst xmlns="http://schemas.openxmlformats.org/spreadsheetml/2006/main" count="368" uniqueCount="38">
  <si>
    <t>河区编码</t>
  </si>
  <si>
    <t>河区名称</t>
  </si>
  <si>
    <t>月份</t>
  </si>
  <si>
    <t>冲淤水量</t>
  </si>
  <si>
    <t>蒸发水量</t>
  </si>
  <si>
    <t>183879A1-5C2B-475C-B162-876771DA3F58</t>
  </si>
  <si>
    <t>虞北平原上河区</t>
  </si>
  <si>
    <t>1C1C32D5-7A6C-4218-BED0-809EC9B7B53A</t>
  </si>
  <si>
    <t>慈溪平原西河区</t>
  </si>
  <si>
    <t>2C5703E2-51BC-4E75-89A0-A57A22BF437C</t>
  </si>
  <si>
    <t>蜀山平原区</t>
  </si>
  <si>
    <t>33A4E290-A8B6-46B7-802E-A3812DA5E8C7</t>
  </si>
  <si>
    <t>慈溪平原中河区</t>
  </si>
  <si>
    <t>59F44DE8-0624-4CE2-B782-9E1C0CC0C02D</t>
  </si>
  <si>
    <t>丰惠平原区</t>
  </si>
  <si>
    <t>5DA96A6B-5C40-4F72-B6C5-DBFD3FE5CC7A</t>
  </si>
  <si>
    <t>江北镇海平原区</t>
  </si>
  <si>
    <t>654DA041-AA35-42F3-A17B-DE193F3145AA</t>
  </si>
  <si>
    <t>慈溪平原东河区</t>
  </si>
  <si>
    <t>7806839C-FAFD-4CFE-9D73-3EE15A4D80D2</t>
  </si>
  <si>
    <t>余姚平原姚江下游区</t>
  </si>
  <si>
    <t>9424A68D-8BE1-4D94-9598-9A0487561160</t>
  </si>
  <si>
    <t>余姚平原马渚中河区</t>
  </si>
  <si>
    <t>967B6E04-86C9-4098-957C-A29C18034DC2</t>
  </si>
  <si>
    <t>余姚平原姚江上游区</t>
  </si>
  <si>
    <t>A0ACDC1A-1917-4B65-BBC1-C941407F55A8</t>
  </si>
  <si>
    <t>南沙平原区</t>
  </si>
  <si>
    <t>C9EE4A48-56D5-4ECB-867C-C277883C9113</t>
  </si>
  <si>
    <t>余姚平原下河区</t>
  </si>
  <si>
    <t>CAA44889-4245-407C-BE9D-417D5A51C2ED</t>
  </si>
  <si>
    <t>虞北平原中河区</t>
  </si>
  <si>
    <t>D85D6F22-7E8A-4CB8-87FB-1DAFE5B28152</t>
  </si>
  <si>
    <t>绍虞平原区</t>
  </si>
  <si>
    <t>F5A1E327-C719-46FA-BD35-C1FA1A3947A2</t>
  </si>
  <si>
    <t>余姚平原上河区</t>
  </si>
  <si>
    <t>合计生态用水量(万m3）</t>
    <phoneticPr fontId="3" type="noConversion"/>
  </si>
  <si>
    <t>日均（万m3）</t>
    <phoneticPr fontId="3" type="noConversion"/>
  </si>
  <si>
    <t>天数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</si>
</sst>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Aptos Narrow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Aptos Narrow"/>
      <family val="3"/>
      <charset val="134"/>
      <scheme val="minor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/>
    </xf>
    <xf numFmtId="0" fontId="4" fillId="0" borderId="0" xfId="0" applyFont="1" applyAlignment="1"/>
    <xf numFmtId="2" fontId="5" fillId="3" borderId="0" xfId="0" applyNumberFormat="1" applyFont="1" applyFill="1" applyAlignment="1">
      <alignment horizontal="center"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topLeftCell="B57" workbookViewId="0">
      <selection activeCell="O92" sqref="O92"/>
    </sheetView>
  </sheetViews>
  <sheetFormatPr baseColWidth="10" defaultColWidth="8.83203125" defaultRowHeight="15"/>
  <cols>
    <col min="1" max="1" width="46.33203125" hidden="1" customWidth="1"/>
    <col min="2" max="2" width="27.83203125" customWidth="1"/>
    <col min="3" max="4" width="7" customWidth="1"/>
    <col min="5" max="6" width="13" customWidth="1"/>
    <col min="7" max="7" width="31.1640625" customWidth="1"/>
    <col min="8" max="8" width="20.83203125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  <c r="G1" s="1" t="s">
        <v>35</v>
      </c>
      <c r="H1" s="3" t="s">
        <v>36</v>
      </c>
    </row>
    <row r="2" spans="1:8">
      <c r="A2" s="2" t="s">
        <v>5</v>
      </c>
      <c r="B2" s="2" t="s">
        <v>6</v>
      </c>
      <c r="C2" s="2">
        <v>1</v>
      </c>
      <c r="D2" s="2">
        <v>31</v>
      </c>
      <c r="E2" s="2">
        <v>0</v>
      </c>
      <c r="F2" s="2">
        <v>85.82</v>
      </c>
      <c r="G2" s="2">
        <v>85.82</v>
      </c>
      <c r="H2" s="4">
        <f>G2/D2</f>
        <v>2.7683870967741933</v>
      </c>
    </row>
    <row r="3" spans="1:8">
      <c r="A3" s="2" t="s">
        <v>7</v>
      </c>
      <c r="B3" s="2" t="s">
        <v>8</v>
      </c>
      <c r="C3" s="2">
        <v>1</v>
      </c>
      <c r="D3" s="2">
        <v>31</v>
      </c>
      <c r="E3" s="2">
        <v>22.63</v>
      </c>
      <c r="F3" s="2">
        <v>88.92</v>
      </c>
      <c r="G3" s="2">
        <v>111.55</v>
      </c>
      <c r="H3" s="4">
        <f t="shared" ref="H3:H66" si="0">G3/D3</f>
        <v>3.5983870967741933</v>
      </c>
    </row>
    <row r="4" spans="1:8">
      <c r="A4" s="2" t="s">
        <v>9</v>
      </c>
      <c r="B4" s="2" t="s">
        <v>10</v>
      </c>
      <c r="C4" s="2">
        <v>1</v>
      </c>
      <c r="D4" s="2">
        <v>31</v>
      </c>
      <c r="E4" s="2"/>
      <c r="F4" s="2">
        <v>36.47</v>
      </c>
      <c r="G4" s="2">
        <v>36.47</v>
      </c>
      <c r="H4" s="4">
        <f t="shared" si="0"/>
        <v>1.1764516129032259</v>
      </c>
    </row>
    <row r="5" spans="1:8">
      <c r="A5" s="2" t="s">
        <v>11</v>
      </c>
      <c r="B5" s="2" t="s">
        <v>12</v>
      </c>
      <c r="C5" s="2">
        <v>1</v>
      </c>
      <c r="D5" s="2">
        <v>31</v>
      </c>
      <c r="E5" s="2">
        <v>166.78</v>
      </c>
      <c r="F5" s="2">
        <v>91.09</v>
      </c>
      <c r="G5" s="2">
        <v>257.87</v>
      </c>
      <c r="H5" s="4">
        <f t="shared" si="0"/>
        <v>8.3183870967741935</v>
      </c>
    </row>
    <row r="6" spans="1:8">
      <c r="A6" s="2" t="s">
        <v>13</v>
      </c>
      <c r="B6" s="2" t="s">
        <v>14</v>
      </c>
      <c r="C6" s="2">
        <v>1</v>
      </c>
      <c r="D6" s="2">
        <v>31</v>
      </c>
      <c r="E6" s="2"/>
      <c r="F6" s="2">
        <v>18.7</v>
      </c>
      <c r="G6" s="2">
        <v>18.7</v>
      </c>
      <c r="H6" s="4">
        <f t="shared" si="0"/>
        <v>0.60322580645161283</v>
      </c>
    </row>
    <row r="7" spans="1:8">
      <c r="A7" s="2" t="s">
        <v>15</v>
      </c>
      <c r="B7" s="2" t="s">
        <v>16</v>
      </c>
      <c r="C7" s="2">
        <v>1</v>
      </c>
      <c r="D7" s="2">
        <v>31</v>
      </c>
      <c r="E7" s="2"/>
      <c r="F7" s="2">
        <v>0</v>
      </c>
      <c r="G7" s="2">
        <v>0</v>
      </c>
      <c r="H7" s="4">
        <f t="shared" si="0"/>
        <v>0</v>
      </c>
    </row>
    <row r="8" spans="1:8">
      <c r="A8" s="2" t="s">
        <v>17</v>
      </c>
      <c r="B8" s="2" t="s">
        <v>18</v>
      </c>
      <c r="C8" s="2">
        <v>1</v>
      </c>
      <c r="D8" s="2">
        <v>31</v>
      </c>
      <c r="E8" s="2">
        <v>0</v>
      </c>
      <c r="F8" s="2">
        <v>49.93</v>
      </c>
      <c r="G8" s="2">
        <v>49.93</v>
      </c>
      <c r="H8" s="4">
        <f t="shared" si="0"/>
        <v>1.6106451612903225</v>
      </c>
    </row>
    <row r="9" spans="1:8">
      <c r="A9" s="2" t="s">
        <v>19</v>
      </c>
      <c r="B9" s="2" t="s">
        <v>20</v>
      </c>
      <c r="C9" s="2">
        <v>1</v>
      </c>
      <c r="D9" s="2">
        <v>31</v>
      </c>
      <c r="E9" s="2"/>
      <c r="F9" s="2">
        <v>46.54</v>
      </c>
      <c r="G9" s="2">
        <v>46.54</v>
      </c>
      <c r="H9" s="4">
        <f t="shared" si="0"/>
        <v>1.5012903225806451</v>
      </c>
    </row>
    <row r="10" spans="1:8">
      <c r="A10" s="2" t="s">
        <v>21</v>
      </c>
      <c r="B10" s="2" t="s">
        <v>22</v>
      </c>
      <c r="C10" s="2">
        <v>1</v>
      </c>
      <c r="D10" s="2">
        <v>31</v>
      </c>
      <c r="E10" s="2"/>
      <c r="F10" s="2">
        <v>0.63</v>
      </c>
      <c r="G10" s="2">
        <v>0.63</v>
      </c>
      <c r="H10" s="4">
        <f t="shared" si="0"/>
        <v>2.0322580645161289E-2</v>
      </c>
    </row>
    <row r="11" spans="1:8">
      <c r="A11" s="2" t="s">
        <v>23</v>
      </c>
      <c r="B11" s="2" t="s">
        <v>24</v>
      </c>
      <c r="C11" s="2">
        <v>1</v>
      </c>
      <c r="D11" s="2">
        <v>31</v>
      </c>
      <c r="E11" s="2"/>
      <c r="F11" s="2">
        <v>66.52</v>
      </c>
      <c r="G11" s="2">
        <v>66.52</v>
      </c>
      <c r="H11" s="4">
        <f t="shared" si="0"/>
        <v>2.145806451612903</v>
      </c>
    </row>
    <row r="12" spans="1:8">
      <c r="A12" s="2" t="s">
        <v>25</v>
      </c>
      <c r="B12" s="2" t="s">
        <v>26</v>
      </c>
      <c r="C12" s="2">
        <v>1</v>
      </c>
      <c r="D12" s="2">
        <v>31</v>
      </c>
      <c r="E12" s="2"/>
      <c r="F12" s="2">
        <v>143.69999999999999</v>
      </c>
      <c r="G12" s="2">
        <v>143.69999999999999</v>
      </c>
      <c r="H12" s="4">
        <f t="shared" si="0"/>
        <v>4.6354838709677413</v>
      </c>
    </row>
    <row r="13" spans="1:8">
      <c r="A13" s="2" t="s">
        <v>27</v>
      </c>
      <c r="B13" s="2" t="s">
        <v>28</v>
      </c>
      <c r="C13" s="2">
        <v>1</v>
      </c>
      <c r="D13" s="2">
        <v>31</v>
      </c>
      <c r="E13" s="2"/>
      <c r="F13" s="2">
        <v>7.91</v>
      </c>
      <c r="G13" s="2">
        <v>7.91</v>
      </c>
      <c r="H13" s="4">
        <f t="shared" si="0"/>
        <v>0.25516129032258067</v>
      </c>
    </row>
    <row r="14" spans="1:8">
      <c r="A14" s="2" t="s">
        <v>29</v>
      </c>
      <c r="B14" s="2" t="s">
        <v>30</v>
      </c>
      <c r="C14" s="2">
        <v>1</v>
      </c>
      <c r="D14" s="2">
        <v>31</v>
      </c>
      <c r="E14" s="2"/>
      <c r="F14" s="2">
        <v>0.76</v>
      </c>
      <c r="G14" s="2">
        <v>0.76</v>
      </c>
      <c r="H14" s="4">
        <f t="shared" si="0"/>
        <v>2.4516129032258065E-2</v>
      </c>
    </row>
    <row r="15" spans="1:8">
      <c r="A15" s="2" t="s">
        <v>31</v>
      </c>
      <c r="B15" s="2" t="s">
        <v>32</v>
      </c>
      <c r="C15" s="2">
        <v>1</v>
      </c>
      <c r="D15" s="2">
        <v>31</v>
      </c>
      <c r="E15" s="2"/>
      <c r="F15" s="2">
        <v>105.39</v>
      </c>
      <c r="G15" s="2">
        <v>105.39</v>
      </c>
      <c r="H15" s="4">
        <f t="shared" si="0"/>
        <v>3.3996774193548389</v>
      </c>
    </row>
    <row r="16" spans="1:8">
      <c r="A16" s="2" t="s">
        <v>33</v>
      </c>
      <c r="B16" s="2" t="s">
        <v>34</v>
      </c>
      <c r="C16" s="2">
        <v>1</v>
      </c>
      <c r="D16" s="2">
        <v>31</v>
      </c>
      <c r="E16" s="2">
        <v>0</v>
      </c>
      <c r="F16" s="2">
        <v>13.26</v>
      </c>
      <c r="G16" s="2">
        <v>13.26</v>
      </c>
      <c r="H16" s="4">
        <f t="shared" si="0"/>
        <v>0.42774193548387096</v>
      </c>
    </row>
    <row r="17" spans="1:8">
      <c r="A17" s="2" t="s">
        <v>5</v>
      </c>
      <c r="B17" s="2" t="s">
        <v>6</v>
      </c>
      <c r="C17" s="2">
        <v>2</v>
      </c>
      <c r="D17" s="2">
        <v>28</v>
      </c>
      <c r="E17" s="2">
        <v>0</v>
      </c>
      <c r="F17" s="2">
        <v>78.459999999999994</v>
      </c>
      <c r="G17" s="2">
        <v>78.459999999999994</v>
      </c>
      <c r="H17" s="4">
        <f t="shared" si="0"/>
        <v>2.802142857142857</v>
      </c>
    </row>
    <row r="18" spans="1:8">
      <c r="A18" s="2" t="s">
        <v>7</v>
      </c>
      <c r="B18" s="2" t="s">
        <v>8</v>
      </c>
      <c r="C18" s="2">
        <v>2</v>
      </c>
      <c r="D18" s="2">
        <v>28</v>
      </c>
      <c r="E18" s="2">
        <v>191.52</v>
      </c>
      <c r="F18" s="2">
        <v>79.709999999999994</v>
      </c>
      <c r="G18" s="2">
        <v>271.23</v>
      </c>
      <c r="H18" s="4">
        <f t="shared" si="0"/>
        <v>9.6867857142857154</v>
      </c>
    </row>
    <row r="19" spans="1:8">
      <c r="A19" s="2" t="s">
        <v>9</v>
      </c>
      <c r="B19" s="2" t="s">
        <v>10</v>
      </c>
      <c r="C19" s="2">
        <v>2</v>
      </c>
      <c r="D19" s="2">
        <v>28</v>
      </c>
      <c r="E19" s="2"/>
      <c r="F19" s="2">
        <v>31.7</v>
      </c>
      <c r="G19" s="2">
        <v>31.7</v>
      </c>
      <c r="H19" s="4">
        <f t="shared" si="0"/>
        <v>1.1321428571428571</v>
      </c>
    </row>
    <row r="20" spans="1:8">
      <c r="A20" s="2" t="s">
        <v>11</v>
      </c>
      <c r="B20" s="2" t="s">
        <v>12</v>
      </c>
      <c r="C20" s="2">
        <v>2</v>
      </c>
      <c r="D20" s="2">
        <v>28</v>
      </c>
      <c r="E20" s="2">
        <v>1037.1199999999999</v>
      </c>
      <c r="F20" s="2">
        <v>81.66</v>
      </c>
      <c r="G20" s="2">
        <v>1118.78</v>
      </c>
      <c r="H20" s="4">
        <f t="shared" si="0"/>
        <v>39.956428571428567</v>
      </c>
    </row>
    <row r="21" spans="1:8">
      <c r="A21" s="2" t="s">
        <v>13</v>
      </c>
      <c r="B21" s="2" t="s">
        <v>14</v>
      </c>
      <c r="C21" s="2">
        <v>2</v>
      </c>
      <c r="D21" s="2">
        <v>28</v>
      </c>
      <c r="E21" s="2"/>
      <c r="F21" s="2">
        <v>17.079999999999998</v>
      </c>
      <c r="G21" s="2">
        <v>17.079999999999998</v>
      </c>
      <c r="H21" s="4">
        <f t="shared" si="0"/>
        <v>0.61</v>
      </c>
    </row>
    <row r="22" spans="1:8">
      <c r="A22" s="2" t="s">
        <v>15</v>
      </c>
      <c r="B22" s="2" t="s">
        <v>16</v>
      </c>
      <c r="C22" s="2">
        <v>2</v>
      </c>
      <c r="D22" s="2">
        <v>28</v>
      </c>
      <c r="E22" s="2"/>
      <c r="F22" s="2">
        <v>0</v>
      </c>
      <c r="G22" s="2">
        <v>0</v>
      </c>
      <c r="H22" s="4">
        <f t="shared" si="0"/>
        <v>0</v>
      </c>
    </row>
    <row r="23" spans="1:8">
      <c r="A23" s="2" t="s">
        <v>17</v>
      </c>
      <c r="B23" s="2" t="s">
        <v>18</v>
      </c>
      <c r="C23" s="2">
        <v>2</v>
      </c>
      <c r="D23" s="2">
        <v>28</v>
      </c>
      <c r="E23" s="2">
        <v>0</v>
      </c>
      <c r="F23" s="2">
        <v>44.76</v>
      </c>
      <c r="G23" s="2">
        <v>44.76</v>
      </c>
      <c r="H23" s="4">
        <f t="shared" si="0"/>
        <v>1.5985714285714285</v>
      </c>
    </row>
    <row r="24" spans="1:8">
      <c r="A24" s="2" t="s">
        <v>19</v>
      </c>
      <c r="B24" s="2" t="s">
        <v>20</v>
      </c>
      <c r="C24" s="2">
        <v>2</v>
      </c>
      <c r="D24" s="2">
        <v>28</v>
      </c>
      <c r="E24" s="2"/>
      <c r="F24" s="2">
        <v>40.49</v>
      </c>
      <c r="G24" s="2">
        <v>40.49</v>
      </c>
      <c r="H24" s="4">
        <f t="shared" si="0"/>
        <v>1.4460714285714287</v>
      </c>
    </row>
    <row r="25" spans="1:8">
      <c r="A25" s="2" t="s">
        <v>21</v>
      </c>
      <c r="B25" s="2" t="s">
        <v>22</v>
      </c>
      <c r="C25" s="2">
        <v>2</v>
      </c>
      <c r="D25" s="2">
        <v>28</v>
      </c>
      <c r="E25" s="2"/>
      <c r="F25" s="2">
        <v>0.55000000000000004</v>
      </c>
      <c r="G25" s="2">
        <v>0.55000000000000004</v>
      </c>
      <c r="H25" s="4">
        <f t="shared" si="0"/>
        <v>1.9642857142857146E-2</v>
      </c>
    </row>
    <row r="26" spans="1:8">
      <c r="A26" s="2" t="s">
        <v>23</v>
      </c>
      <c r="B26" s="2" t="s">
        <v>24</v>
      </c>
      <c r="C26" s="2">
        <v>2</v>
      </c>
      <c r="D26" s="2">
        <v>28</v>
      </c>
      <c r="E26" s="2"/>
      <c r="F26" s="2">
        <v>57.87</v>
      </c>
      <c r="G26" s="2">
        <v>57.87</v>
      </c>
      <c r="H26" s="4">
        <f t="shared" si="0"/>
        <v>2.066785714285714</v>
      </c>
    </row>
    <row r="27" spans="1:8">
      <c r="A27" s="2" t="s">
        <v>25</v>
      </c>
      <c r="B27" s="2" t="s">
        <v>26</v>
      </c>
      <c r="C27" s="2">
        <v>2</v>
      </c>
      <c r="D27" s="2">
        <v>28</v>
      </c>
      <c r="E27" s="2"/>
      <c r="F27" s="2">
        <v>124.91</v>
      </c>
      <c r="G27" s="2">
        <v>124.91</v>
      </c>
      <c r="H27" s="4">
        <f t="shared" si="0"/>
        <v>4.4610714285714286</v>
      </c>
    </row>
    <row r="28" spans="1:8">
      <c r="A28" s="2" t="s">
        <v>27</v>
      </c>
      <c r="B28" s="2" t="s">
        <v>28</v>
      </c>
      <c r="C28" s="2">
        <v>2</v>
      </c>
      <c r="D28" s="2">
        <v>28</v>
      </c>
      <c r="E28" s="2"/>
      <c r="F28" s="2">
        <v>6.88</v>
      </c>
      <c r="G28" s="2">
        <v>6.88</v>
      </c>
      <c r="H28" s="4">
        <f t="shared" si="0"/>
        <v>0.24571428571428572</v>
      </c>
    </row>
    <row r="29" spans="1:8">
      <c r="A29" s="2" t="s">
        <v>29</v>
      </c>
      <c r="B29" s="2" t="s">
        <v>30</v>
      </c>
      <c r="C29" s="2">
        <v>2</v>
      </c>
      <c r="D29" s="2">
        <v>28</v>
      </c>
      <c r="E29" s="2"/>
      <c r="F29" s="2">
        <v>0.69</v>
      </c>
      <c r="G29" s="2">
        <v>0.69</v>
      </c>
      <c r="H29" s="4">
        <f t="shared" si="0"/>
        <v>2.464285714285714E-2</v>
      </c>
    </row>
    <row r="30" spans="1:8">
      <c r="A30" s="2" t="s">
        <v>31</v>
      </c>
      <c r="B30" s="2" t="s">
        <v>32</v>
      </c>
      <c r="C30" s="2">
        <v>2</v>
      </c>
      <c r="D30" s="2">
        <v>28</v>
      </c>
      <c r="E30" s="2"/>
      <c r="F30" s="2">
        <v>95.93</v>
      </c>
      <c r="G30" s="2">
        <v>95.93</v>
      </c>
      <c r="H30" s="4">
        <f t="shared" si="0"/>
        <v>3.4260714285714289</v>
      </c>
    </row>
    <row r="31" spans="1:8">
      <c r="A31" s="2" t="s">
        <v>33</v>
      </c>
      <c r="B31" s="2" t="s">
        <v>34</v>
      </c>
      <c r="C31" s="2">
        <v>2</v>
      </c>
      <c r="D31" s="2">
        <v>28</v>
      </c>
      <c r="E31" s="2">
        <v>0</v>
      </c>
      <c r="F31" s="2">
        <v>11.53</v>
      </c>
      <c r="G31" s="2">
        <v>11.53</v>
      </c>
      <c r="H31" s="4">
        <f t="shared" si="0"/>
        <v>0.41178571428571425</v>
      </c>
    </row>
    <row r="32" spans="1:8">
      <c r="A32" s="2" t="s">
        <v>5</v>
      </c>
      <c r="B32" s="2" t="s">
        <v>6</v>
      </c>
      <c r="C32" s="2">
        <v>3</v>
      </c>
      <c r="D32" s="2">
        <v>31</v>
      </c>
      <c r="E32" s="2">
        <v>0</v>
      </c>
      <c r="F32" s="2">
        <v>110.2</v>
      </c>
      <c r="G32" s="2">
        <v>110.2</v>
      </c>
      <c r="H32" s="4">
        <f t="shared" si="0"/>
        <v>3.5548387096774197</v>
      </c>
    </row>
    <row r="33" spans="1:8">
      <c r="A33" s="2" t="s">
        <v>7</v>
      </c>
      <c r="B33" s="2" t="s">
        <v>8</v>
      </c>
      <c r="C33" s="2">
        <v>3</v>
      </c>
      <c r="D33" s="2">
        <v>31</v>
      </c>
      <c r="E33" s="2">
        <v>66.650000000000006</v>
      </c>
      <c r="F33" s="2">
        <v>136.19999999999999</v>
      </c>
      <c r="G33" s="2">
        <v>202.85</v>
      </c>
      <c r="H33" s="4">
        <f t="shared" si="0"/>
        <v>6.5435483870967737</v>
      </c>
    </row>
    <row r="34" spans="1:8">
      <c r="A34" s="2" t="s">
        <v>9</v>
      </c>
      <c r="B34" s="2" t="s">
        <v>10</v>
      </c>
      <c r="C34" s="2">
        <v>3</v>
      </c>
      <c r="D34" s="2">
        <v>31</v>
      </c>
      <c r="E34" s="2"/>
      <c r="F34" s="2">
        <v>48.96</v>
      </c>
      <c r="G34" s="2">
        <v>48.96</v>
      </c>
      <c r="H34" s="4">
        <f t="shared" si="0"/>
        <v>1.5793548387096774</v>
      </c>
    </row>
    <row r="35" spans="1:8">
      <c r="A35" s="2" t="s">
        <v>11</v>
      </c>
      <c r="B35" s="2" t="s">
        <v>12</v>
      </c>
      <c r="C35" s="2">
        <v>3</v>
      </c>
      <c r="D35" s="2">
        <v>31</v>
      </c>
      <c r="E35" s="2">
        <v>706.18</v>
      </c>
      <c r="F35" s="2">
        <v>139.53</v>
      </c>
      <c r="G35" s="2">
        <v>845.71</v>
      </c>
      <c r="H35" s="4">
        <f t="shared" si="0"/>
        <v>27.280967741935484</v>
      </c>
    </row>
    <row r="36" spans="1:8">
      <c r="A36" s="2" t="s">
        <v>13</v>
      </c>
      <c r="B36" s="2" t="s">
        <v>14</v>
      </c>
      <c r="C36" s="2">
        <v>3</v>
      </c>
      <c r="D36" s="2">
        <v>31</v>
      </c>
      <c r="E36" s="2"/>
      <c r="F36" s="2">
        <v>24.08</v>
      </c>
      <c r="G36" s="2">
        <v>24.08</v>
      </c>
      <c r="H36" s="4">
        <f t="shared" si="0"/>
        <v>0.77677419354838706</v>
      </c>
    </row>
    <row r="37" spans="1:8">
      <c r="A37" s="2" t="s">
        <v>15</v>
      </c>
      <c r="B37" s="2" t="s">
        <v>16</v>
      </c>
      <c r="C37" s="2">
        <v>3</v>
      </c>
      <c r="D37" s="2">
        <v>31</v>
      </c>
      <c r="E37" s="2"/>
      <c r="F37" s="2">
        <v>0</v>
      </c>
      <c r="G37" s="2">
        <v>0</v>
      </c>
      <c r="H37" s="4">
        <f t="shared" si="0"/>
        <v>0</v>
      </c>
    </row>
    <row r="38" spans="1:8">
      <c r="A38" s="2" t="s">
        <v>17</v>
      </c>
      <c r="B38" s="2" t="s">
        <v>18</v>
      </c>
      <c r="C38" s="2">
        <v>3</v>
      </c>
      <c r="D38" s="2">
        <v>31</v>
      </c>
      <c r="E38" s="2">
        <v>0</v>
      </c>
      <c r="F38" s="2">
        <v>76.48</v>
      </c>
      <c r="G38" s="2">
        <v>76.48</v>
      </c>
      <c r="H38" s="4">
        <f t="shared" si="0"/>
        <v>2.4670967741935486</v>
      </c>
    </row>
    <row r="39" spans="1:8">
      <c r="A39" s="2" t="s">
        <v>19</v>
      </c>
      <c r="B39" s="2" t="s">
        <v>20</v>
      </c>
      <c r="C39" s="2">
        <v>3</v>
      </c>
      <c r="D39" s="2">
        <v>31</v>
      </c>
      <c r="E39" s="2"/>
      <c r="F39" s="2">
        <v>64.930000000000007</v>
      </c>
      <c r="G39" s="2">
        <v>64.930000000000007</v>
      </c>
      <c r="H39" s="4">
        <f t="shared" si="0"/>
        <v>2.0945161290322583</v>
      </c>
    </row>
    <row r="40" spans="1:8">
      <c r="A40" s="2" t="s">
        <v>21</v>
      </c>
      <c r="B40" s="2" t="s">
        <v>22</v>
      </c>
      <c r="C40" s="2">
        <v>3</v>
      </c>
      <c r="D40" s="2">
        <v>31</v>
      </c>
      <c r="E40" s="2"/>
      <c r="F40" s="2">
        <v>0.88</v>
      </c>
      <c r="G40" s="2">
        <v>0.88</v>
      </c>
      <c r="H40" s="4">
        <f t="shared" si="0"/>
        <v>2.838709677419355E-2</v>
      </c>
    </row>
    <row r="41" spans="1:8">
      <c r="A41" s="2" t="s">
        <v>23</v>
      </c>
      <c r="B41" s="2" t="s">
        <v>24</v>
      </c>
      <c r="C41" s="2">
        <v>3</v>
      </c>
      <c r="D41" s="2">
        <v>31</v>
      </c>
      <c r="E41" s="2"/>
      <c r="F41" s="2">
        <v>92.8</v>
      </c>
      <c r="G41" s="2">
        <v>92.8</v>
      </c>
      <c r="H41" s="4">
        <f t="shared" si="0"/>
        <v>2.9935483870967743</v>
      </c>
    </row>
    <row r="42" spans="1:8">
      <c r="A42" s="2" t="s">
        <v>25</v>
      </c>
      <c r="B42" s="2" t="s">
        <v>26</v>
      </c>
      <c r="C42" s="2">
        <v>3</v>
      </c>
      <c r="D42" s="2">
        <v>31</v>
      </c>
      <c r="E42" s="2"/>
      <c r="F42" s="2">
        <v>192.91</v>
      </c>
      <c r="G42" s="2">
        <v>192.91</v>
      </c>
      <c r="H42" s="4">
        <f t="shared" si="0"/>
        <v>6.2229032258064514</v>
      </c>
    </row>
    <row r="43" spans="1:8">
      <c r="A43" s="2" t="s">
        <v>27</v>
      </c>
      <c r="B43" s="2" t="s">
        <v>28</v>
      </c>
      <c r="C43" s="2">
        <v>3</v>
      </c>
      <c r="D43" s="2">
        <v>31</v>
      </c>
      <c r="E43" s="2"/>
      <c r="F43" s="2">
        <v>11.04</v>
      </c>
      <c r="G43" s="2">
        <v>11.04</v>
      </c>
      <c r="H43" s="4">
        <f t="shared" si="0"/>
        <v>0.35612903225806447</v>
      </c>
    </row>
    <row r="44" spans="1:8">
      <c r="A44" s="2" t="s">
        <v>29</v>
      </c>
      <c r="B44" s="2" t="s">
        <v>30</v>
      </c>
      <c r="C44" s="2">
        <v>3</v>
      </c>
      <c r="D44" s="2">
        <v>31</v>
      </c>
      <c r="E44" s="2"/>
      <c r="F44" s="2">
        <v>0.97</v>
      </c>
      <c r="G44" s="2">
        <v>0.97</v>
      </c>
      <c r="H44" s="4">
        <f t="shared" si="0"/>
        <v>3.1290322580645159E-2</v>
      </c>
    </row>
    <row r="45" spans="1:8">
      <c r="A45" s="2" t="s">
        <v>31</v>
      </c>
      <c r="B45" s="2" t="s">
        <v>32</v>
      </c>
      <c r="C45" s="2">
        <v>3</v>
      </c>
      <c r="D45" s="2">
        <v>31</v>
      </c>
      <c r="E45" s="2"/>
      <c r="F45" s="2">
        <v>135.88</v>
      </c>
      <c r="G45" s="2">
        <v>135.88</v>
      </c>
      <c r="H45" s="4">
        <f t="shared" si="0"/>
        <v>4.3832258064516125</v>
      </c>
    </row>
    <row r="46" spans="1:8">
      <c r="A46" s="2" t="s">
        <v>33</v>
      </c>
      <c r="B46" s="2" t="s">
        <v>34</v>
      </c>
      <c r="C46" s="2">
        <v>3</v>
      </c>
      <c r="D46" s="2">
        <v>31</v>
      </c>
      <c r="E46" s="2">
        <v>0</v>
      </c>
      <c r="F46" s="2">
        <v>18.489999999999998</v>
      </c>
      <c r="G46" s="2">
        <v>18.489999999999998</v>
      </c>
      <c r="H46" s="4">
        <f t="shared" si="0"/>
        <v>0.59645161290322579</v>
      </c>
    </row>
    <row r="47" spans="1:8">
      <c r="A47" s="2" t="s">
        <v>5</v>
      </c>
      <c r="B47" s="2" t="s">
        <v>6</v>
      </c>
      <c r="C47" s="2">
        <v>4</v>
      </c>
      <c r="D47" s="2">
        <v>30</v>
      </c>
      <c r="E47" s="2">
        <v>0</v>
      </c>
      <c r="F47" s="2">
        <v>137.61000000000001</v>
      </c>
      <c r="G47" s="2">
        <v>137.61000000000001</v>
      </c>
      <c r="H47" s="4">
        <f t="shared" si="0"/>
        <v>4.5870000000000006</v>
      </c>
    </row>
    <row r="48" spans="1:8">
      <c r="A48" s="2" t="s">
        <v>7</v>
      </c>
      <c r="B48" s="2" t="s">
        <v>8</v>
      </c>
      <c r="C48" s="2">
        <v>4</v>
      </c>
      <c r="D48" s="2">
        <v>30</v>
      </c>
      <c r="E48" s="2">
        <v>141.6</v>
      </c>
      <c r="F48" s="2">
        <v>148.05000000000001</v>
      </c>
      <c r="G48" s="2">
        <v>289.64999999999998</v>
      </c>
      <c r="H48" s="4">
        <f t="shared" si="0"/>
        <v>9.6549999999999994</v>
      </c>
    </row>
    <row r="49" spans="1:8">
      <c r="A49" s="2" t="s">
        <v>9</v>
      </c>
      <c r="B49" s="2" t="s">
        <v>10</v>
      </c>
      <c r="C49" s="2">
        <v>4</v>
      </c>
      <c r="D49" s="2">
        <v>30</v>
      </c>
      <c r="E49" s="2"/>
      <c r="F49" s="2">
        <v>69.88</v>
      </c>
      <c r="G49" s="2">
        <v>69.88</v>
      </c>
      <c r="H49" s="4">
        <f t="shared" si="0"/>
        <v>2.329333333333333</v>
      </c>
    </row>
    <row r="50" spans="1:8">
      <c r="A50" s="2" t="s">
        <v>11</v>
      </c>
      <c r="B50" s="2" t="s">
        <v>12</v>
      </c>
      <c r="C50" s="2">
        <v>4</v>
      </c>
      <c r="D50" s="2">
        <v>30</v>
      </c>
      <c r="E50" s="2">
        <v>829.2</v>
      </c>
      <c r="F50" s="2">
        <v>151.66999999999999</v>
      </c>
      <c r="G50" s="2">
        <v>980.87</v>
      </c>
      <c r="H50" s="4">
        <f t="shared" si="0"/>
        <v>32.695666666666668</v>
      </c>
    </row>
    <row r="51" spans="1:8">
      <c r="A51" s="2" t="s">
        <v>13</v>
      </c>
      <c r="B51" s="2" t="s">
        <v>14</v>
      </c>
      <c r="C51" s="2">
        <v>4</v>
      </c>
      <c r="D51" s="2">
        <v>30</v>
      </c>
      <c r="E51" s="2"/>
      <c r="F51" s="2">
        <v>30.1</v>
      </c>
      <c r="G51" s="2">
        <v>30.1</v>
      </c>
      <c r="H51" s="4">
        <f t="shared" si="0"/>
        <v>1.0033333333333334</v>
      </c>
    </row>
    <row r="52" spans="1:8">
      <c r="A52" s="2" t="s">
        <v>15</v>
      </c>
      <c r="B52" s="2" t="s">
        <v>16</v>
      </c>
      <c r="C52" s="2">
        <v>4</v>
      </c>
      <c r="D52" s="2">
        <v>30</v>
      </c>
      <c r="E52" s="2"/>
      <c r="F52" s="2">
        <v>0</v>
      </c>
      <c r="G52" s="2">
        <v>0</v>
      </c>
      <c r="H52" s="4">
        <f t="shared" si="0"/>
        <v>0</v>
      </c>
    </row>
    <row r="53" spans="1:8">
      <c r="A53" s="2" t="s">
        <v>17</v>
      </c>
      <c r="B53" s="2" t="s">
        <v>18</v>
      </c>
      <c r="C53" s="2">
        <v>4</v>
      </c>
      <c r="D53" s="2">
        <v>30</v>
      </c>
      <c r="E53" s="2">
        <v>0</v>
      </c>
      <c r="F53" s="2">
        <v>83.14</v>
      </c>
      <c r="G53" s="2">
        <v>83.14</v>
      </c>
      <c r="H53" s="4">
        <f t="shared" si="0"/>
        <v>2.7713333333333332</v>
      </c>
    </row>
    <row r="54" spans="1:8">
      <c r="A54" s="2" t="s">
        <v>19</v>
      </c>
      <c r="B54" s="2" t="s">
        <v>20</v>
      </c>
      <c r="C54" s="2">
        <v>4</v>
      </c>
      <c r="D54" s="2">
        <v>30</v>
      </c>
      <c r="E54" s="2"/>
      <c r="F54" s="2">
        <v>83.46</v>
      </c>
      <c r="G54" s="2">
        <v>83.46</v>
      </c>
      <c r="H54" s="4">
        <f t="shared" si="0"/>
        <v>2.7819999999999996</v>
      </c>
    </row>
    <row r="55" spans="1:8">
      <c r="A55" s="2" t="s">
        <v>21</v>
      </c>
      <c r="B55" s="2" t="s">
        <v>22</v>
      </c>
      <c r="C55" s="2">
        <v>4</v>
      </c>
      <c r="D55" s="2">
        <v>30</v>
      </c>
      <c r="E55" s="2"/>
      <c r="F55" s="2">
        <v>1.1399999999999999</v>
      </c>
      <c r="G55" s="2">
        <v>1.1399999999999999</v>
      </c>
      <c r="H55" s="4">
        <f t="shared" si="0"/>
        <v>3.7999999999999999E-2</v>
      </c>
    </row>
    <row r="56" spans="1:8">
      <c r="A56" s="2" t="s">
        <v>23</v>
      </c>
      <c r="B56" s="2" t="s">
        <v>24</v>
      </c>
      <c r="C56" s="2">
        <v>4</v>
      </c>
      <c r="D56" s="2">
        <v>30</v>
      </c>
      <c r="E56" s="2"/>
      <c r="F56" s="2">
        <v>119.28</v>
      </c>
      <c r="G56" s="2">
        <v>119.28</v>
      </c>
      <c r="H56" s="4">
        <f t="shared" si="0"/>
        <v>3.976</v>
      </c>
    </row>
    <row r="57" spans="1:8">
      <c r="A57" s="2" t="s">
        <v>25</v>
      </c>
      <c r="B57" s="2" t="s">
        <v>26</v>
      </c>
      <c r="C57" s="2">
        <v>4</v>
      </c>
      <c r="D57" s="2">
        <v>30</v>
      </c>
      <c r="E57" s="2"/>
      <c r="F57" s="2">
        <v>275.36</v>
      </c>
      <c r="G57" s="2">
        <v>275.36</v>
      </c>
      <c r="H57" s="4">
        <f t="shared" si="0"/>
        <v>9.1786666666666665</v>
      </c>
    </row>
    <row r="58" spans="1:8">
      <c r="A58" s="2" t="s">
        <v>27</v>
      </c>
      <c r="B58" s="2" t="s">
        <v>28</v>
      </c>
      <c r="C58" s="2">
        <v>4</v>
      </c>
      <c r="D58" s="2">
        <v>30</v>
      </c>
      <c r="E58" s="2"/>
      <c r="F58" s="2">
        <v>14.19</v>
      </c>
      <c r="G58" s="2">
        <v>14.19</v>
      </c>
      <c r="H58" s="4">
        <f t="shared" si="0"/>
        <v>0.47299999999999998</v>
      </c>
    </row>
    <row r="59" spans="1:8">
      <c r="A59" s="2" t="s">
        <v>29</v>
      </c>
      <c r="B59" s="2" t="s">
        <v>30</v>
      </c>
      <c r="C59" s="2">
        <v>4</v>
      </c>
      <c r="D59" s="2">
        <v>30</v>
      </c>
      <c r="E59" s="2"/>
      <c r="F59" s="2">
        <v>1.21</v>
      </c>
      <c r="G59" s="2">
        <v>1.21</v>
      </c>
      <c r="H59" s="4">
        <f t="shared" si="0"/>
        <v>4.0333333333333332E-2</v>
      </c>
    </row>
    <row r="60" spans="1:8">
      <c r="A60" s="2" t="s">
        <v>31</v>
      </c>
      <c r="B60" s="2" t="s">
        <v>32</v>
      </c>
      <c r="C60" s="2">
        <v>4</v>
      </c>
      <c r="D60" s="2">
        <v>30</v>
      </c>
      <c r="E60" s="2"/>
      <c r="F60" s="2">
        <v>171.94</v>
      </c>
      <c r="G60" s="2">
        <v>171.94</v>
      </c>
      <c r="H60" s="4">
        <f t="shared" si="0"/>
        <v>5.7313333333333336</v>
      </c>
    </row>
    <row r="61" spans="1:8">
      <c r="A61" s="2" t="s">
        <v>33</v>
      </c>
      <c r="B61" s="2" t="s">
        <v>34</v>
      </c>
      <c r="C61" s="2">
        <v>4</v>
      </c>
      <c r="D61" s="2">
        <v>30</v>
      </c>
      <c r="E61" s="2">
        <v>0</v>
      </c>
      <c r="F61" s="2">
        <v>23.77</v>
      </c>
      <c r="G61" s="2">
        <v>23.77</v>
      </c>
      <c r="H61" s="4">
        <f t="shared" si="0"/>
        <v>0.79233333333333333</v>
      </c>
    </row>
    <row r="62" spans="1:8">
      <c r="A62" s="2" t="s">
        <v>5</v>
      </c>
      <c r="B62" s="2" t="s">
        <v>6</v>
      </c>
      <c r="C62" s="2">
        <v>5</v>
      </c>
      <c r="D62" s="2">
        <v>31</v>
      </c>
      <c r="E62" s="2">
        <v>0</v>
      </c>
      <c r="F62" s="2">
        <v>165.91</v>
      </c>
      <c r="G62" s="2">
        <v>165.91</v>
      </c>
      <c r="H62" s="4">
        <f t="shared" si="0"/>
        <v>5.3519354838709674</v>
      </c>
    </row>
    <row r="63" spans="1:8">
      <c r="A63" s="2" t="s">
        <v>7</v>
      </c>
      <c r="B63" s="2" t="s">
        <v>8</v>
      </c>
      <c r="C63" s="2">
        <v>5</v>
      </c>
      <c r="D63" s="2">
        <v>31</v>
      </c>
      <c r="E63" s="2">
        <v>179.8</v>
      </c>
      <c r="F63" s="2">
        <v>197.21</v>
      </c>
      <c r="G63" s="2">
        <v>377.01</v>
      </c>
      <c r="H63" s="4">
        <f t="shared" si="0"/>
        <v>12.161612903225807</v>
      </c>
    </row>
    <row r="64" spans="1:8">
      <c r="A64" s="2" t="s">
        <v>9</v>
      </c>
      <c r="B64" s="2" t="s">
        <v>10</v>
      </c>
      <c r="C64" s="2">
        <v>5</v>
      </c>
      <c r="D64" s="2">
        <v>31</v>
      </c>
      <c r="E64" s="2"/>
      <c r="F64" s="2">
        <v>83.44</v>
      </c>
      <c r="G64" s="2">
        <v>83.44</v>
      </c>
      <c r="H64" s="4">
        <f t="shared" si="0"/>
        <v>2.6916129032258063</v>
      </c>
    </row>
    <row r="65" spans="1:8">
      <c r="A65" s="2" t="s">
        <v>11</v>
      </c>
      <c r="B65" s="2" t="s">
        <v>12</v>
      </c>
      <c r="C65" s="2">
        <v>5</v>
      </c>
      <c r="D65" s="2">
        <v>31</v>
      </c>
      <c r="E65" s="2">
        <v>610.39</v>
      </c>
      <c r="F65" s="2">
        <v>202.03</v>
      </c>
      <c r="G65" s="2">
        <v>812.42</v>
      </c>
      <c r="H65" s="4">
        <f t="shared" si="0"/>
        <v>26.207096774193548</v>
      </c>
    </row>
    <row r="66" spans="1:8">
      <c r="A66" s="2" t="s">
        <v>13</v>
      </c>
      <c r="B66" s="2" t="s">
        <v>14</v>
      </c>
      <c r="C66" s="2">
        <v>5</v>
      </c>
      <c r="D66" s="2">
        <v>31</v>
      </c>
      <c r="E66" s="2"/>
      <c r="F66" s="2">
        <v>36.450000000000003</v>
      </c>
      <c r="G66" s="2">
        <v>36.450000000000003</v>
      </c>
      <c r="H66" s="4">
        <f t="shared" si="0"/>
        <v>1.1758064516129034</v>
      </c>
    </row>
    <row r="67" spans="1:8">
      <c r="A67" s="2" t="s">
        <v>15</v>
      </c>
      <c r="B67" s="2" t="s">
        <v>16</v>
      </c>
      <c r="C67" s="2">
        <v>5</v>
      </c>
      <c r="D67" s="2">
        <v>31</v>
      </c>
      <c r="E67" s="2"/>
      <c r="F67" s="2">
        <v>0</v>
      </c>
      <c r="G67" s="2">
        <v>0</v>
      </c>
      <c r="H67" s="4">
        <f t="shared" ref="H67:H130" si="1">G67/D67</f>
        <v>0</v>
      </c>
    </row>
    <row r="68" spans="1:8">
      <c r="A68" s="2" t="s">
        <v>17</v>
      </c>
      <c r="B68" s="2" t="s">
        <v>18</v>
      </c>
      <c r="C68" s="2">
        <v>5</v>
      </c>
      <c r="D68" s="2">
        <v>31</v>
      </c>
      <c r="E68" s="2">
        <v>273.73</v>
      </c>
      <c r="F68" s="2">
        <v>110.74</v>
      </c>
      <c r="G68" s="2">
        <v>384.47</v>
      </c>
      <c r="H68" s="4">
        <f t="shared" si="1"/>
        <v>12.402258064516129</v>
      </c>
    </row>
    <row r="69" spans="1:8">
      <c r="A69" s="2" t="s">
        <v>19</v>
      </c>
      <c r="B69" s="2" t="s">
        <v>20</v>
      </c>
      <c r="C69" s="2">
        <v>5</v>
      </c>
      <c r="D69" s="2">
        <v>31</v>
      </c>
      <c r="E69" s="2"/>
      <c r="F69" s="2">
        <v>113.65</v>
      </c>
      <c r="G69" s="2">
        <v>113.65</v>
      </c>
      <c r="H69" s="4">
        <f t="shared" si="1"/>
        <v>3.6661290322580649</v>
      </c>
    </row>
    <row r="70" spans="1:8">
      <c r="A70" s="2" t="s">
        <v>21</v>
      </c>
      <c r="B70" s="2" t="s">
        <v>22</v>
      </c>
      <c r="C70" s="2">
        <v>5</v>
      </c>
      <c r="D70" s="2">
        <v>31</v>
      </c>
      <c r="E70" s="2"/>
      <c r="F70" s="2">
        <v>1.55</v>
      </c>
      <c r="G70" s="2">
        <v>1.55</v>
      </c>
      <c r="H70" s="4">
        <f t="shared" si="1"/>
        <v>0.05</v>
      </c>
    </row>
    <row r="71" spans="1:8">
      <c r="A71" s="2" t="s">
        <v>23</v>
      </c>
      <c r="B71" s="2" t="s">
        <v>24</v>
      </c>
      <c r="C71" s="2">
        <v>5</v>
      </c>
      <c r="D71" s="2">
        <v>31</v>
      </c>
      <c r="E71" s="2"/>
      <c r="F71" s="2">
        <v>162.44</v>
      </c>
      <c r="G71" s="2">
        <v>162.44</v>
      </c>
      <c r="H71" s="4">
        <f t="shared" si="1"/>
        <v>5.24</v>
      </c>
    </row>
    <row r="72" spans="1:8">
      <c r="A72" s="2" t="s">
        <v>25</v>
      </c>
      <c r="B72" s="2" t="s">
        <v>26</v>
      </c>
      <c r="C72" s="2">
        <v>5</v>
      </c>
      <c r="D72" s="2">
        <v>31</v>
      </c>
      <c r="E72" s="2"/>
      <c r="F72" s="2">
        <v>328.76</v>
      </c>
      <c r="G72" s="2">
        <v>328.76</v>
      </c>
      <c r="H72" s="4">
        <f t="shared" si="1"/>
        <v>10.605161290322581</v>
      </c>
    </row>
    <row r="73" spans="1:8">
      <c r="A73" s="2" t="s">
        <v>27</v>
      </c>
      <c r="B73" s="2" t="s">
        <v>28</v>
      </c>
      <c r="C73" s="2">
        <v>5</v>
      </c>
      <c r="D73" s="2">
        <v>31</v>
      </c>
      <c r="E73" s="2"/>
      <c r="F73" s="2">
        <v>19.32</v>
      </c>
      <c r="G73" s="2">
        <v>19.32</v>
      </c>
      <c r="H73" s="4">
        <f t="shared" si="1"/>
        <v>0.62322580645161296</v>
      </c>
    </row>
    <row r="74" spans="1:8">
      <c r="A74" s="2" t="s">
        <v>29</v>
      </c>
      <c r="B74" s="2" t="s">
        <v>30</v>
      </c>
      <c r="C74" s="2">
        <v>5</v>
      </c>
      <c r="D74" s="2">
        <v>31</v>
      </c>
      <c r="E74" s="2"/>
      <c r="F74" s="2">
        <v>1.46</v>
      </c>
      <c r="G74" s="2">
        <v>1.46</v>
      </c>
      <c r="H74" s="4">
        <f t="shared" si="1"/>
        <v>4.7096774193548387E-2</v>
      </c>
    </row>
    <row r="75" spans="1:8">
      <c r="A75" s="2" t="s">
        <v>31</v>
      </c>
      <c r="B75" s="2" t="s">
        <v>32</v>
      </c>
      <c r="C75" s="2">
        <v>5</v>
      </c>
      <c r="D75" s="2">
        <v>31</v>
      </c>
      <c r="E75" s="2"/>
      <c r="F75" s="2">
        <v>207.1</v>
      </c>
      <c r="G75" s="2">
        <v>207.1</v>
      </c>
      <c r="H75" s="4">
        <f t="shared" si="1"/>
        <v>6.6806451612903226</v>
      </c>
    </row>
    <row r="76" spans="1:8">
      <c r="A76" s="2" t="s">
        <v>33</v>
      </c>
      <c r="B76" s="2" t="s">
        <v>34</v>
      </c>
      <c r="C76" s="2">
        <v>5</v>
      </c>
      <c r="D76" s="2">
        <v>31</v>
      </c>
      <c r="E76" s="2">
        <v>0</v>
      </c>
      <c r="F76" s="2">
        <v>32.369999999999997</v>
      </c>
      <c r="G76" s="2">
        <v>32.369999999999997</v>
      </c>
      <c r="H76" s="4">
        <f t="shared" si="1"/>
        <v>1.0441935483870968</v>
      </c>
    </row>
    <row r="77" spans="1:8">
      <c r="A77" s="2" t="s">
        <v>5</v>
      </c>
      <c r="B77" s="2" t="s">
        <v>6</v>
      </c>
      <c r="C77" s="2">
        <v>6</v>
      </c>
      <c r="D77" s="2">
        <v>30</v>
      </c>
      <c r="E77" s="2">
        <v>0</v>
      </c>
      <c r="F77" s="2">
        <v>175.23</v>
      </c>
      <c r="G77" s="2">
        <v>175.23</v>
      </c>
      <c r="H77" s="4">
        <f t="shared" si="1"/>
        <v>5.8409999999999993</v>
      </c>
    </row>
    <row r="78" spans="1:8">
      <c r="A78" s="2" t="s">
        <v>7</v>
      </c>
      <c r="B78" s="2" t="s">
        <v>8</v>
      </c>
      <c r="C78" s="2">
        <v>6</v>
      </c>
      <c r="D78" s="2">
        <v>30</v>
      </c>
      <c r="E78" s="2">
        <v>294.60000000000002</v>
      </c>
      <c r="F78" s="2">
        <v>154.24</v>
      </c>
      <c r="G78" s="2">
        <v>448.84</v>
      </c>
      <c r="H78" s="4">
        <f t="shared" si="1"/>
        <v>14.961333333333332</v>
      </c>
    </row>
    <row r="79" spans="1:8">
      <c r="A79" s="2" t="s">
        <v>9</v>
      </c>
      <c r="B79" s="2" t="s">
        <v>10</v>
      </c>
      <c r="C79" s="2">
        <v>6</v>
      </c>
      <c r="D79" s="2">
        <v>30</v>
      </c>
      <c r="E79" s="2"/>
      <c r="F79" s="2">
        <v>70.92</v>
      </c>
      <c r="G79" s="2">
        <v>70.92</v>
      </c>
      <c r="H79" s="4">
        <f t="shared" si="1"/>
        <v>2.3639999999999999</v>
      </c>
    </row>
    <row r="80" spans="1:8">
      <c r="A80" s="2" t="s">
        <v>11</v>
      </c>
      <c r="B80" s="2" t="s">
        <v>12</v>
      </c>
      <c r="C80" s="2">
        <v>6</v>
      </c>
      <c r="D80" s="2">
        <v>30</v>
      </c>
      <c r="E80" s="2">
        <v>937.8</v>
      </c>
      <c r="F80" s="2">
        <v>158.01</v>
      </c>
      <c r="G80" s="2">
        <v>1095.81</v>
      </c>
      <c r="H80" s="4">
        <f t="shared" si="1"/>
        <v>36.527000000000001</v>
      </c>
    </row>
    <row r="81" spans="1:8">
      <c r="A81" s="2" t="s">
        <v>13</v>
      </c>
      <c r="B81" s="2" t="s">
        <v>14</v>
      </c>
      <c r="C81" s="2">
        <v>6</v>
      </c>
      <c r="D81" s="2">
        <v>30</v>
      </c>
      <c r="E81" s="2"/>
      <c r="F81" s="2">
        <v>38.299999999999997</v>
      </c>
      <c r="G81" s="2">
        <v>38.299999999999997</v>
      </c>
      <c r="H81" s="4">
        <f t="shared" si="1"/>
        <v>1.2766666666666666</v>
      </c>
    </row>
    <row r="82" spans="1:8">
      <c r="A82" s="2" t="s">
        <v>15</v>
      </c>
      <c r="B82" s="2" t="s">
        <v>16</v>
      </c>
      <c r="C82" s="2">
        <v>6</v>
      </c>
      <c r="D82" s="2">
        <v>30</v>
      </c>
      <c r="E82" s="2"/>
      <c r="F82" s="2">
        <v>0</v>
      </c>
      <c r="G82" s="2">
        <v>0</v>
      </c>
      <c r="H82" s="4">
        <f t="shared" si="1"/>
        <v>0</v>
      </c>
    </row>
    <row r="83" spans="1:8">
      <c r="A83" s="2" t="s">
        <v>17</v>
      </c>
      <c r="B83" s="2" t="s">
        <v>18</v>
      </c>
      <c r="C83" s="2">
        <v>6</v>
      </c>
      <c r="D83" s="2">
        <v>30</v>
      </c>
      <c r="E83" s="2">
        <v>95.1</v>
      </c>
      <c r="F83" s="2">
        <v>86.61</v>
      </c>
      <c r="G83" s="2">
        <v>181.71</v>
      </c>
      <c r="H83" s="4">
        <f t="shared" si="1"/>
        <v>6.0570000000000004</v>
      </c>
    </row>
    <row r="84" spans="1:8">
      <c r="A84" s="2" t="s">
        <v>19</v>
      </c>
      <c r="B84" s="2" t="s">
        <v>20</v>
      </c>
      <c r="C84" s="2">
        <v>6</v>
      </c>
      <c r="D84" s="2">
        <v>30</v>
      </c>
      <c r="E84" s="2"/>
      <c r="F84" s="2">
        <v>104.14</v>
      </c>
      <c r="G84" s="2">
        <v>104.14</v>
      </c>
      <c r="H84" s="4">
        <f t="shared" si="1"/>
        <v>3.4713333333333334</v>
      </c>
    </row>
    <row r="85" spans="1:8">
      <c r="A85" s="2" t="s">
        <v>21</v>
      </c>
      <c r="B85" s="2" t="s">
        <v>22</v>
      </c>
      <c r="C85" s="2">
        <v>6</v>
      </c>
      <c r="D85" s="2">
        <v>30</v>
      </c>
      <c r="E85" s="2"/>
      <c r="F85" s="2">
        <v>1.42</v>
      </c>
      <c r="G85" s="2">
        <v>1.42</v>
      </c>
      <c r="H85" s="4">
        <f t="shared" si="1"/>
        <v>4.7333333333333331E-2</v>
      </c>
    </row>
    <row r="86" spans="1:8">
      <c r="A86" s="2" t="s">
        <v>23</v>
      </c>
      <c r="B86" s="2" t="s">
        <v>24</v>
      </c>
      <c r="C86" s="2">
        <v>6</v>
      </c>
      <c r="D86" s="2">
        <v>30</v>
      </c>
      <c r="E86" s="2"/>
      <c r="F86" s="2">
        <v>148.84</v>
      </c>
      <c r="G86" s="2">
        <v>148.84</v>
      </c>
      <c r="H86" s="4">
        <f t="shared" si="1"/>
        <v>4.9613333333333332</v>
      </c>
    </row>
    <row r="87" spans="1:8">
      <c r="A87" s="2" t="s">
        <v>25</v>
      </c>
      <c r="B87" s="2" t="s">
        <v>26</v>
      </c>
      <c r="C87" s="2">
        <v>6</v>
      </c>
      <c r="D87" s="2">
        <v>30</v>
      </c>
      <c r="E87" s="2"/>
      <c r="F87" s="2">
        <v>279.45999999999998</v>
      </c>
      <c r="G87" s="2">
        <v>279.45999999999998</v>
      </c>
      <c r="H87" s="4">
        <f t="shared" si="1"/>
        <v>9.3153333333333332</v>
      </c>
    </row>
    <row r="88" spans="1:8">
      <c r="A88" s="2" t="s">
        <v>27</v>
      </c>
      <c r="B88" s="2" t="s">
        <v>28</v>
      </c>
      <c r="C88" s="2">
        <v>6</v>
      </c>
      <c r="D88" s="2">
        <v>30</v>
      </c>
      <c r="E88" s="2"/>
      <c r="F88" s="2">
        <v>17.71</v>
      </c>
      <c r="G88" s="2">
        <v>17.71</v>
      </c>
      <c r="H88" s="4">
        <f t="shared" si="1"/>
        <v>0.59033333333333338</v>
      </c>
    </row>
    <row r="89" spans="1:8">
      <c r="A89" s="2" t="s">
        <v>29</v>
      </c>
      <c r="B89" s="2" t="s">
        <v>30</v>
      </c>
      <c r="C89" s="2">
        <v>6</v>
      </c>
      <c r="D89" s="2">
        <v>30</v>
      </c>
      <c r="E89" s="2"/>
      <c r="F89" s="2">
        <v>1.54</v>
      </c>
      <c r="G89" s="2">
        <v>1.54</v>
      </c>
      <c r="H89" s="4">
        <f t="shared" si="1"/>
        <v>5.1333333333333335E-2</v>
      </c>
    </row>
    <row r="90" spans="1:8">
      <c r="A90" s="2" t="s">
        <v>31</v>
      </c>
      <c r="B90" s="2" t="s">
        <v>32</v>
      </c>
      <c r="C90" s="2">
        <v>6</v>
      </c>
      <c r="D90" s="2">
        <v>30</v>
      </c>
      <c r="E90" s="2"/>
      <c r="F90" s="2">
        <v>214.28</v>
      </c>
      <c r="G90" s="2">
        <v>214.28</v>
      </c>
      <c r="H90" s="4">
        <f t="shared" si="1"/>
        <v>7.1426666666666669</v>
      </c>
    </row>
    <row r="91" spans="1:8">
      <c r="A91" s="2" t="s">
        <v>33</v>
      </c>
      <c r="B91" s="2" t="s">
        <v>34</v>
      </c>
      <c r="C91" s="2">
        <v>6</v>
      </c>
      <c r="D91" s="2">
        <v>30</v>
      </c>
      <c r="E91" s="2">
        <v>0</v>
      </c>
      <c r="F91" s="2">
        <v>29.66</v>
      </c>
      <c r="G91" s="2">
        <v>29.66</v>
      </c>
      <c r="H91" s="4">
        <f t="shared" si="1"/>
        <v>0.98866666666666669</v>
      </c>
    </row>
    <row r="92" spans="1:8">
      <c r="A92" s="2" t="s">
        <v>5</v>
      </c>
      <c r="B92" s="2" t="s">
        <v>6</v>
      </c>
      <c r="C92" s="2">
        <v>7</v>
      </c>
      <c r="D92" s="2">
        <v>31</v>
      </c>
      <c r="E92" s="2">
        <v>0</v>
      </c>
      <c r="F92" s="2">
        <v>185.8</v>
      </c>
      <c r="G92" s="2">
        <v>185.8</v>
      </c>
      <c r="H92" s="4">
        <f t="shared" si="1"/>
        <v>5.9935483870967747</v>
      </c>
    </row>
    <row r="93" spans="1:8">
      <c r="A93" s="2" t="s">
        <v>7</v>
      </c>
      <c r="B93" s="2" t="s">
        <v>8</v>
      </c>
      <c r="C93" s="2">
        <v>7</v>
      </c>
      <c r="D93" s="2">
        <v>31</v>
      </c>
      <c r="E93" s="2">
        <v>225.37</v>
      </c>
      <c r="F93" s="2">
        <v>254.36</v>
      </c>
      <c r="G93" s="2">
        <v>479.73</v>
      </c>
      <c r="H93" s="4">
        <f t="shared" si="1"/>
        <v>15.475161290322582</v>
      </c>
    </row>
    <row r="94" spans="1:8">
      <c r="A94" s="2" t="s">
        <v>9</v>
      </c>
      <c r="B94" s="2" t="s">
        <v>10</v>
      </c>
      <c r="C94" s="2">
        <v>7</v>
      </c>
      <c r="D94" s="2">
        <v>31</v>
      </c>
      <c r="E94" s="2"/>
      <c r="F94" s="2">
        <v>75.36</v>
      </c>
      <c r="G94" s="2">
        <v>75.36</v>
      </c>
      <c r="H94" s="4">
        <f t="shared" si="1"/>
        <v>2.430967741935484</v>
      </c>
    </row>
    <row r="95" spans="1:8">
      <c r="A95" s="2" t="s">
        <v>11</v>
      </c>
      <c r="B95" s="2" t="s">
        <v>12</v>
      </c>
      <c r="C95" s="2">
        <v>7</v>
      </c>
      <c r="D95" s="2">
        <v>31</v>
      </c>
      <c r="E95" s="2">
        <v>88.66</v>
      </c>
      <c r="F95" s="2">
        <v>260.57</v>
      </c>
      <c r="G95" s="2">
        <v>349.23</v>
      </c>
      <c r="H95" s="4">
        <f t="shared" si="1"/>
        <v>11.265483870967742</v>
      </c>
    </row>
    <row r="96" spans="1:8">
      <c r="A96" s="2" t="s">
        <v>13</v>
      </c>
      <c r="B96" s="2" t="s">
        <v>14</v>
      </c>
      <c r="C96" s="2">
        <v>7</v>
      </c>
      <c r="D96" s="2">
        <v>31</v>
      </c>
      <c r="E96" s="2"/>
      <c r="F96" s="2">
        <v>40.520000000000003</v>
      </c>
      <c r="G96" s="2">
        <v>40.520000000000003</v>
      </c>
      <c r="H96" s="4">
        <f t="shared" si="1"/>
        <v>1.3070967741935484</v>
      </c>
    </row>
    <row r="97" spans="1:8">
      <c r="A97" s="2" t="s">
        <v>15</v>
      </c>
      <c r="B97" s="2" t="s">
        <v>16</v>
      </c>
      <c r="C97" s="2">
        <v>7</v>
      </c>
      <c r="D97" s="2">
        <v>31</v>
      </c>
      <c r="E97" s="2"/>
      <c r="F97" s="2">
        <v>0</v>
      </c>
      <c r="G97" s="2">
        <v>0</v>
      </c>
      <c r="H97" s="4">
        <f t="shared" si="1"/>
        <v>0</v>
      </c>
    </row>
    <row r="98" spans="1:8">
      <c r="A98" s="2" t="s">
        <v>17</v>
      </c>
      <c r="B98" s="2" t="s">
        <v>18</v>
      </c>
      <c r="C98" s="2">
        <v>7</v>
      </c>
      <c r="D98" s="2">
        <v>31</v>
      </c>
      <c r="E98" s="2">
        <v>0</v>
      </c>
      <c r="F98" s="2">
        <v>142.83000000000001</v>
      </c>
      <c r="G98" s="2">
        <v>142.83000000000001</v>
      </c>
      <c r="H98" s="4">
        <f t="shared" si="1"/>
        <v>4.6074193548387097</v>
      </c>
    </row>
    <row r="99" spans="1:8">
      <c r="A99" s="2" t="s">
        <v>19</v>
      </c>
      <c r="B99" s="2" t="s">
        <v>20</v>
      </c>
      <c r="C99" s="2">
        <v>7</v>
      </c>
      <c r="D99" s="2">
        <v>31</v>
      </c>
      <c r="E99" s="2"/>
      <c r="F99" s="2">
        <v>102.85</v>
      </c>
      <c r="G99" s="2">
        <v>102.85</v>
      </c>
      <c r="H99" s="4">
        <f t="shared" si="1"/>
        <v>3.3177419354838706</v>
      </c>
    </row>
    <row r="100" spans="1:8">
      <c r="A100" s="2" t="s">
        <v>21</v>
      </c>
      <c r="B100" s="2" t="s">
        <v>22</v>
      </c>
      <c r="C100" s="2">
        <v>7</v>
      </c>
      <c r="D100" s="2">
        <v>31</v>
      </c>
      <c r="E100" s="2"/>
      <c r="F100" s="2">
        <v>1.4</v>
      </c>
      <c r="G100" s="2">
        <v>1.4</v>
      </c>
      <c r="H100" s="4">
        <f t="shared" si="1"/>
        <v>4.5161290322580643E-2</v>
      </c>
    </row>
    <row r="101" spans="1:8">
      <c r="A101" s="2" t="s">
        <v>23</v>
      </c>
      <c r="B101" s="2" t="s">
        <v>24</v>
      </c>
      <c r="C101" s="2">
        <v>7</v>
      </c>
      <c r="D101" s="2">
        <v>31</v>
      </c>
      <c r="E101" s="2"/>
      <c r="F101" s="2">
        <v>147</v>
      </c>
      <c r="G101" s="2">
        <v>147</v>
      </c>
      <c r="H101" s="4">
        <f t="shared" si="1"/>
        <v>4.741935483870968</v>
      </c>
    </row>
    <row r="102" spans="1:8">
      <c r="A102" s="2" t="s">
        <v>25</v>
      </c>
      <c r="B102" s="2" t="s">
        <v>26</v>
      </c>
      <c r="C102" s="2">
        <v>7</v>
      </c>
      <c r="D102" s="2">
        <v>31</v>
      </c>
      <c r="E102" s="2"/>
      <c r="F102" s="2">
        <v>296.94</v>
      </c>
      <c r="G102" s="2">
        <v>296.94</v>
      </c>
      <c r="H102" s="4">
        <f t="shared" si="1"/>
        <v>9.5787096774193543</v>
      </c>
    </row>
    <row r="103" spans="1:8">
      <c r="A103" s="2" t="s">
        <v>27</v>
      </c>
      <c r="B103" s="2" t="s">
        <v>28</v>
      </c>
      <c r="C103" s="2">
        <v>7</v>
      </c>
      <c r="D103" s="2">
        <v>31</v>
      </c>
      <c r="E103" s="2"/>
      <c r="F103" s="2">
        <v>17.489999999999998</v>
      </c>
      <c r="G103" s="2">
        <v>17.489999999999998</v>
      </c>
      <c r="H103" s="4">
        <f t="shared" si="1"/>
        <v>0.56419354838709668</v>
      </c>
    </row>
    <row r="104" spans="1:8">
      <c r="A104" s="2" t="s">
        <v>29</v>
      </c>
      <c r="B104" s="2" t="s">
        <v>30</v>
      </c>
      <c r="C104" s="2">
        <v>7</v>
      </c>
      <c r="D104" s="2">
        <v>31</v>
      </c>
      <c r="E104" s="2"/>
      <c r="F104" s="2">
        <v>1.63</v>
      </c>
      <c r="G104" s="2">
        <v>1.63</v>
      </c>
      <c r="H104" s="4">
        <f t="shared" si="1"/>
        <v>5.2580645161290317E-2</v>
      </c>
    </row>
    <row r="105" spans="1:8">
      <c r="A105" s="2" t="s">
        <v>31</v>
      </c>
      <c r="B105" s="2" t="s">
        <v>32</v>
      </c>
      <c r="C105" s="2">
        <v>7</v>
      </c>
      <c r="D105" s="2">
        <v>31</v>
      </c>
      <c r="E105" s="2"/>
      <c r="F105" s="2">
        <v>227.24</v>
      </c>
      <c r="G105" s="2">
        <v>227.24</v>
      </c>
      <c r="H105" s="4">
        <f t="shared" si="1"/>
        <v>7.330322580645162</v>
      </c>
    </row>
    <row r="106" spans="1:8">
      <c r="A106" s="2" t="s">
        <v>33</v>
      </c>
      <c r="B106" s="2" t="s">
        <v>34</v>
      </c>
      <c r="C106" s="2">
        <v>7</v>
      </c>
      <c r="D106" s="2">
        <v>31</v>
      </c>
      <c r="E106" s="2">
        <v>0</v>
      </c>
      <c r="F106" s="2">
        <v>29.29</v>
      </c>
      <c r="G106" s="2">
        <v>29.29</v>
      </c>
      <c r="H106" s="4">
        <f t="shared" si="1"/>
        <v>0.94483870967741934</v>
      </c>
    </row>
    <row r="107" spans="1:8">
      <c r="A107" s="2" t="s">
        <v>5</v>
      </c>
      <c r="B107" s="2" t="s">
        <v>6</v>
      </c>
      <c r="C107" s="2">
        <v>8</v>
      </c>
      <c r="D107" s="2">
        <v>31</v>
      </c>
      <c r="E107" s="2">
        <v>0</v>
      </c>
      <c r="F107" s="2">
        <v>194.74</v>
      </c>
      <c r="G107" s="2">
        <v>194.74</v>
      </c>
      <c r="H107" s="4">
        <f t="shared" si="1"/>
        <v>6.281935483870968</v>
      </c>
    </row>
    <row r="108" spans="1:8">
      <c r="A108" s="2" t="s">
        <v>7</v>
      </c>
      <c r="B108" s="2" t="s">
        <v>8</v>
      </c>
      <c r="C108" s="2">
        <v>8</v>
      </c>
      <c r="D108" s="2">
        <v>31</v>
      </c>
      <c r="E108" s="2">
        <v>65.72</v>
      </c>
      <c r="F108" s="2">
        <v>222.39</v>
      </c>
      <c r="G108" s="2">
        <v>288.11</v>
      </c>
      <c r="H108" s="4">
        <f t="shared" si="1"/>
        <v>9.2938709677419364</v>
      </c>
    </row>
    <row r="109" spans="1:8">
      <c r="A109" s="2" t="s">
        <v>9</v>
      </c>
      <c r="B109" s="2" t="s">
        <v>10</v>
      </c>
      <c r="C109" s="2">
        <v>8</v>
      </c>
      <c r="D109" s="2">
        <v>31</v>
      </c>
      <c r="E109" s="2"/>
      <c r="F109" s="2">
        <v>72.67</v>
      </c>
      <c r="G109" s="2">
        <v>72.67</v>
      </c>
      <c r="H109" s="4">
        <f t="shared" si="1"/>
        <v>2.3441935483870968</v>
      </c>
    </row>
    <row r="110" spans="1:8">
      <c r="A110" s="2" t="s">
        <v>11</v>
      </c>
      <c r="B110" s="2" t="s">
        <v>12</v>
      </c>
      <c r="C110" s="2">
        <v>8</v>
      </c>
      <c r="D110" s="2">
        <v>31</v>
      </c>
      <c r="E110" s="2">
        <v>465.93</v>
      </c>
      <c r="F110" s="2">
        <v>227.82</v>
      </c>
      <c r="G110" s="2">
        <v>693.75</v>
      </c>
      <c r="H110" s="4">
        <f t="shared" si="1"/>
        <v>22.379032258064516</v>
      </c>
    </row>
    <row r="111" spans="1:8">
      <c r="A111" s="2" t="s">
        <v>13</v>
      </c>
      <c r="B111" s="2" t="s">
        <v>14</v>
      </c>
      <c r="C111" s="2">
        <v>8</v>
      </c>
      <c r="D111" s="2">
        <v>31</v>
      </c>
      <c r="E111" s="2"/>
      <c r="F111" s="2">
        <v>42.38</v>
      </c>
      <c r="G111" s="2">
        <v>42.38</v>
      </c>
      <c r="H111" s="4">
        <f t="shared" si="1"/>
        <v>1.3670967741935485</v>
      </c>
    </row>
    <row r="112" spans="1:8">
      <c r="A112" s="2" t="s">
        <v>15</v>
      </c>
      <c r="B112" s="2" t="s">
        <v>16</v>
      </c>
      <c r="C112" s="2">
        <v>8</v>
      </c>
      <c r="D112" s="2">
        <v>31</v>
      </c>
      <c r="E112" s="2"/>
      <c r="F112" s="2">
        <v>0</v>
      </c>
      <c r="G112" s="2">
        <v>0</v>
      </c>
      <c r="H112" s="4">
        <f t="shared" si="1"/>
        <v>0</v>
      </c>
    </row>
    <row r="113" spans="1:8">
      <c r="A113" s="2" t="s">
        <v>17</v>
      </c>
      <c r="B113" s="2" t="s">
        <v>18</v>
      </c>
      <c r="C113" s="2">
        <v>8</v>
      </c>
      <c r="D113" s="2">
        <v>31</v>
      </c>
      <c r="E113" s="2">
        <v>0</v>
      </c>
      <c r="F113" s="2">
        <v>124.88</v>
      </c>
      <c r="G113" s="2">
        <v>124.88</v>
      </c>
      <c r="H113" s="4">
        <f t="shared" si="1"/>
        <v>4.0283870967741935</v>
      </c>
    </row>
    <row r="114" spans="1:8">
      <c r="A114" s="2" t="s">
        <v>19</v>
      </c>
      <c r="B114" s="2" t="s">
        <v>20</v>
      </c>
      <c r="C114" s="2">
        <v>8</v>
      </c>
      <c r="D114" s="2">
        <v>31</v>
      </c>
      <c r="E114" s="2"/>
      <c r="F114" s="2">
        <v>100.13</v>
      </c>
      <c r="G114" s="2">
        <v>100.13</v>
      </c>
      <c r="H114" s="4">
        <f t="shared" si="1"/>
        <v>3.23</v>
      </c>
    </row>
    <row r="115" spans="1:8">
      <c r="A115" s="2" t="s">
        <v>21</v>
      </c>
      <c r="B115" s="2" t="s">
        <v>22</v>
      </c>
      <c r="C115" s="2">
        <v>8</v>
      </c>
      <c r="D115" s="2">
        <v>31</v>
      </c>
      <c r="E115" s="2"/>
      <c r="F115" s="2">
        <v>1.36</v>
      </c>
      <c r="G115" s="2">
        <v>1.36</v>
      </c>
      <c r="H115" s="4">
        <f t="shared" si="1"/>
        <v>4.3870967741935489E-2</v>
      </c>
    </row>
    <row r="116" spans="1:8">
      <c r="A116" s="2" t="s">
        <v>23</v>
      </c>
      <c r="B116" s="2" t="s">
        <v>24</v>
      </c>
      <c r="C116" s="2">
        <v>8</v>
      </c>
      <c r="D116" s="2">
        <v>31</v>
      </c>
      <c r="E116" s="2"/>
      <c r="F116" s="2">
        <v>143.11000000000001</v>
      </c>
      <c r="G116" s="2">
        <v>143.11000000000001</v>
      </c>
      <c r="H116" s="4">
        <f t="shared" si="1"/>
        <v>4.6164516129032265</v>
      </c>
    </row>
    <row r="117" spans="1:8">
      <c r="A117" s="2" t="s">
        <v>25</v>
      </c>
      <c r="B117" s="2" t="s">
        <v>26</v>
      </c>
      <c r="C117" s="2">
        <v>8</v>
      </c>
      <c r="D117" s="2">
        <v>31</v>
      </c>
      <c r="E117" s="2"/>
      <c r="F117" s="2">
        <v>286.33999999999997</v>
      </c>
      <c r="G117" s="2">
        <v>286.33999999999997</v>
      </c>
      <c r="H117" s="4">
        <f t="shared" si="1"/>
        <v>9.2367741935483867</v>
      </c>
    </row>
    <row r="118" spans="1:8">
      <c r="A118" s="2" t="s">
        <v>27</v>
      </c>
      <c r="B118" s="2" t="s">
        <v>28</v>
      </c>
      <c r="C118" s="2">
        <v>8</v>
      </c>
      <c r="D118" s="2">
        <v>31</v>
      </c>
      <c r="E118" s="2"/>
      <c r="F118" s="2">
        <v>17.02</v>
      </c>
      <c r="G118" s="2">
        <v>17.02</v>
      </c>
      <c r="H118" s="4">
        <f t="shared" si="1"/>
        <v>0.54903225806451617</v>
      </c>
    </row>
    <row r="119" spans="1:8">
      <c r="A119" s="2" t="s">
        <v>29</v>
      </c>
      <c r="B119" s="2" t="s">
        <v>30</v>
      </c>
      <c r="C119" s="2">
        <v>8</v>
      </c>
      <c r="D119" s="2">
        <v>31</v>
      </c>
      <c r="E119" s="2"/>
      <c r="F119" s="2">
        <v>1.71</v>
      </c>
      <c r="G119" s="2">
        <v>1.71</v>
      </c>
      <c r="H119" s="4">
        <f t="shared" si="1"/>
        <v>5.5161290322580644E-2</v>
      </c>
    </row>
    <row r="120" spans="1:8">
      <c r="A120" s="2" t="s">
        <v>31</v>
      </c>
      <c r="B120" s="2" t="s">
        <v>32</v>
      </c>
      <c r="C120" s="2">
        <v>8</v>
      </c>
      <c r="D120" s="2">
        <v>31</v>
      </c>
      <c r="E120" s="2"/>
      <c r="F120" s="2">
        <v>236.54</v>
      </c>
      <c r="G120" s="2">
        <v>236.54</v>
      </c>
      <c r="H120" s="4">
        <f t="shared" si="1"/>
        <v>7.6303225806451609</v>
      </c>
    </row>
    <row r="121" spans="1:8">
      <c r="A121" s="2" t="s">
        <v>33</v>
      </c>
      <c r="B121" s="2" t="s">
        <v>34</v>
      </c>
      <c r="C121" s="2">
        <v>8</v>
      </c>
      <c r="D121" s="2">
        <v>31</v>
      </c>
      <c r="E121" s="2">
        <v>0</v>
      </c>
      <c r="F121" s="2">
        <v>28.52</v>
      </c>
      <c r="G121" s="2">
        <v>28.52</v>
      </c>
      <c r="H121" s="4">
        <f t="shared" si="1"/>
        <v>0.92</v>
      </c>
    </row>
    <row r="122" spans="1:8" s="7" customFormat="1">
      <c r="A122" s="5" t="s">
        <v>5</v>
      </c>
      <c r="B122" s="5" t="s">
        <v>6</v>
      </c>
      <c r="C122" s="5">
        <v>9</v>
      </c>
      <c r="D122" s="5">
        <v>30</v>
      </c>
      <c r="E122" s="5">
        <v>0</v>
      </c>
      <c r="F122" s="5">
        <v>149.27000000000001</v>
      </c>
      <c r="G122" s="5">
        <v>149.27000000000001</v>
      </c>
      <c r="H122" s="6">
        <f t="shared" si="1"/>
        <v>4.9756666666666671</v>
      </c>
    </row>
    <row r="123" spans="1:8" s="7" customFormat="1">
      <c r="A123" s="5" t="s">
        <v>7</v>
      </c>
      <c r="B123" s="5" t="s">
        <v>8</v>
      </c>
      <c r="C123" s="5">
        <v>9</v>
      </c>
      <c r="D123" s="5">
        <v>30</v>
      </c>
      <c r="E123" s="5">
        <v>176.7</v>
      </c>
      <c r="F123" s="5">
        <v>163.91</v>
      </c>
      <c r="G123" s="5">
        <v>340.61</v>
      </c>
      <c r="H123" s="6">
        <f t="shared" si="1"/>
        <v>11.353666666666667</v>
      </c>
    </row>
    <row r="124" spans="1:8" s="7" customFormat="1">
      <c r="A124" s="5" t="s">
        <v>9</v>
      </c>
      <c r="B124" s="5" t="s">
        <v>10</v>
      </c>
      <c r="C124" s="5">
        <v>9</v>
      </c>
      <c r="D124" s="5">
        <v>30</v>
      </c>
      <c r="E124" s="5"/>
      <c r="F124" s="5">
        <v>60.09</v>
      </c>
      <c r="G124" s="5">
        <v>60.09</v>
      </c>
      <c r="H124" s="6">
        <f t="shared" si="1"/>
        <v>2.0030000000000001</v>
      </c>
    </row>
    <row r="125" spans="1:8" s="7" customFormat="1">
      <c r="A125" s="5" t="s">
        <v>11</v>
      </c>
      <c r="B125" s="5" t="s">
        <v>12</v>
      </c>
      <c r="C125" s="5">
        <v>9</v>
      </c>
      <c r="D125" s="5">
        <v>30</v>
      </c>
      <c r="E125" s="5">
        <v>653.4</v>
      </c>
      <c r="F125" s="5">
        <v>167.91</v>
      </c>
      <c r="G125" s="5">
        <v>821.31</v>
      </c>
      <c r="H125" s="6">
        <f t="shared" si="1"/>
        <v>27.376999999999999</v>
      </c>
    </row>
    <row r="126" spans="1:8" s="7" customFormat="1">
      <c r="A126" s="5" t="s">
        <v>13</v>
      </c>
      <c r="B126" s="5" t="s">
        <v>14</v>
      </c>
      <c r="C126" s="5">
        <v>9</v>
      </c>
      <c r="D126" s="5">
        <v>30</v>
      </c>
      <c r="E126" s="5"/>
      <c r="F126" s="5">
        <v>32.5</v>
      </c>
      <c r="G126" s="5">
        <v>32.5</v>
      </c>
      <c r="H126" s="6">
        <f t="shared" si="1"/>
        <v>1.0833333333333333</v>
      </c>
    </row>
    <row r="127" spans="1:8" s="7" customFormat="1">
      <c r="A127" s="5" t="s">
        <v>15</v>
      </c>
      <c r="B127" s="5" t="s">
        <v>16</v>
      </c>
      <c r="C127" s="5">
        <v>9</v>
      </c>
      <c r="D127" s="5">
        <v>30</v>
      </c>
      <c r="E127" s="5"/>
      <c r="F127" s="5">
        <v>0</v>
      </c>
      <c r="G127" s="5">
        <v>0</v>
      </c>
      <c r="H127" s="6">
        <f t="shared" si="1"/>
        <v>0</v>
      </c>
    </row>
    <row r="128" spans="1:8" s="7" customFormat="1">
      <c r="A128" s="5" t="s">
        <v>17</v>
      </c>
      <c r="B128" s="5" t="s">
        <v>18</v>
      </c>
      <c r="C128" s="5">
        <v>9</v>
      </c>
      <c r="D128" s="5">
        <v>30</v>
      </c>
      <c r="E128" s="5">
        <v>0</v>
      </c>
      <c r="F128" s="5">
        <v>92.04</v>
      </c>
      <c r="G128" s="5">
        <v>92.04</v>
      </c>
      <c r="H128" s="6">
        <f t="shared" si="1"/>
        <v>3.0680000000000001</v>
      </c>
    </row>
    <row r="129" spans="1:8" s="7" customFormat="1">
      <c r="A129" s="5" t="s">
        <v>19</v>
      </c>
      <c r="B129" s="5" t="s">
        <v>20</v>
      </c>
      <c r="C129" s="5">
        <v>9</v>
      </c>
      <c r="D129" s="5">
        <v>30</v>
      </c>
      <c r="E129" s="5"/>
      <c r="F129" s="5">
        <v>78.16</v>
      </c>
      <c r="G129" s="5">
        <v>78.16</v>
      </c>
      <c r="H129" s="6">
        <f t="shared" si="1"/>
        <v>2.6053333333333333</v>
      </c>
    </row>
    <row r="130" spans="1:8" s="7" customFormat="1">
      <c r="A130" s="5" t="s">
        <v>21</v>
      </c>
      <c r="B130" s="5" t="s">
        <v>22</v>
      </c>
      <c r="C130" s="5">
        <v>9</v>
      </c>
      <c r="D130" s="5">
        <v>30</v>
      </c>
      <c r="E130" s="5"/>
      <c r="F130" s="5">
        <v>1.06</v>
      </c>
      <c r="G130" s="5">
        <v>1.06</v>
      </c>
      <c r="H130" s="6">
        <f t="shared" si="1"/>
        <v>3.5333333333333335E-2</v>
      </c>
    </row>
    <row r="131" spans="1:8" s="7" customFormat="1">
      <c r="A131" s="5" t="s">
        <v>23</v>
      </c>
      <c r="B131" s="5" t="s">
        <v>24</v>
      </c>
      <c r="C131" s="5">
        <v>9</v>
      </c>
      <c r="D131" s="5">
        <v>30</v>
      </c>
      <c r="E131" s="5"/>
      <c r="F131" s="5">
        <v>111.71</v>
      </c>
      <c r="G131" s="5">
        <v>111.71</v>
      </c>
      <c r="H131" s="6">
        <f t="shared" ref="H131:H181" si="2">G131/D131</f>
        <v>3.7236666666666665</v>
      </c>
    </row>
    <row r="132" spans="1:8" s="7" customFormat="1">
      <c r="A132" s="5" t="s">
        <v>25</v>
      </c>
      <c r="B132" s="5" t="s">
        <v>26</v>
      </c>
      <c r="C132" s="5">
        <v>9</v>
      </c>
      <c r="D132" s="5">
        <v>30</v>
      </c>
      <c r="E132" s="5"/>
      <c r="F132" s="5">
        <v>236.77</v>
      </c>
      <c r="G132" s="5">
        <v>236.77</v>
      </c>
      <c r="H132" s="6">
        <f t="shared" si="2"/>
        <v>7.8923333333333341</v>
      </c>
    </row>
    <row r="133" spans="1:8" s="7" customFormat="1">
      <c r="A133" s="5" t="s">
        <v>27</v>
      </c>
      <c r="B133" s="5" t="s">
        <v>28</v>
      </c>
      <c r="C133" s="5">
        <v>9</v>
      </c>
      <c r="D133" s="5">
        <v>30</v>
      </c>
      <c r="E133" s="5"/>
      <c r="F133" s="5">
        <v>13.29</v>
      </c>
      <c r="G133" s="5">
        <v>13.29</v>
      </c>
      <c r="H133" s="6">
        <f t="shared" si="2"/>
        <v>0.44299999999999995</v>
      </c>
    </row>
    <row r="134" spans="1:8" s="7" customFormat="1">
      <c r="A134" s="5" t="s">
        <v>29</v>
      </c>
      <c r="B134" s="5" t="s">
        <v>30</v>
      </c>
      <c r="C134" s="5">
        <v>9</v>
      </c>
      <c r="D134" s="5">
        <v>30</v>
      </c>
      <c r="E134" s="5"/>
      <c r="F134" s="5">
        <v>1.31</v>
      </c>
      <c r="G134" s="5">
        <v>1.31</v>
      </c>
      <c r="H134" s="6">
        <f t="shared" si="2"/>
        <v>4.3666666666666666E-2</v>
      </c>
    </row>
    <row r="135" spans="1:8" s="7" customFormat="1">
      <c r="A135" s="5" t="s">
        <v>31</v>
      </c>
      <c r="B135" s="5" t="s">
        <v>32</v>
      </c>
      <c r="C135" s="5">
        <v>9</v>
      </c>
      <c r="D135" s="5">
        <v>30</v>
      </c>
      <c r="E135" s="5"/>
      <c r="F135" s="5">
        <v>182.45</v>
      </c>
      <c r="G135" s="5">
        <v>182.45</v>
      </c>
      <c r="H135" s="6">
        <f t="shared" si="2"/>
        <v>6.0816666666666661</v>
      </c>
    </row>
    <row r="136" spans="1:8" s="7" customFormat="1">
      <c r="A136" s="5" t="s">
        <v>33</v>
      </c>
      <c r="B136" s="5" t="s">
        <v>34</v>
      </c>
      <c r="C136" s="5">
        <v>9</v>
      </c>
      <c r="D136" s="5">
        <v>30</v>
      </c>
      <c r="E136" s="5">
        <v>0</v>
      </c>
      <c r="F136" s="5">
        <v>22.26</v>
      </c>
      <c r="G136" s="5">
        <v>22.26</v>
      </c>
      <c r="H136" s="6">
        <f t="shared" si="2"/>
        <v>0.7420000000000001</v>
      </c>
    </row>
    <row r="137" spans="1:8">
      <c r="A137" s="2" t="s">
        <v>5</v>
      </c>
      <c r="B137" s="2" t="s">
        <v>6</v>
      </c>
      <c r="C137" s="2">
        <v>10</v>
      </c>
      <c r="D137" s="2">
        <v>31</v>
      </c>
      <c r="E137" s="2">
        <v>0</v>
      </c>
      <c r="F137" s="2">
        <v>134.75</v>
      </c>
      <c r="G137" s="2">
        <v>134.75</v>
      </c>
      <c r="H137" s="4">
        <f t="shared" si="2"/>
        <v>4.346774193548387</v>
      </c>
    </row>
    <row r="138" spans="1:8">
      <c r="A138" s="2" t="s">
        <v>7</v>
      </c>
      <c r="B138" s="2" t="s">
        <v>8</v>
      </c>
      <c r="C138" s="2">
        <v>10</v>
      </c>
      <c r="D138" s="2">
        <v>31</v>
      </c>
      <c r="E138" s="2">
        <v>164.3</v>
      </c>
      <c r="F138" s="2">
        <v>184.36</v>
      </c>
      <c r="G138" s="2">
        <v>348.66</v>
      </c>
      <c r="H138" s="4">
        <f t="shared" si="2"/>
        <v>11.247096774193549</v>
      </c>
    </row>
    <row r="139" spans="1:8">
      <c r="A139" s="2" t="s">
        <v>9</v>
      </c>
      <c r="B139" s="2" t="s">
        <v>10</v>
      </c>
      <c r="C139" s="2">
        <v>10</v>
      </c>
      <c r="D139" s="2">
        <v>31</v>
      </c>
      <c r="E139" s="2"/>
      <c r="F139" s="2">
        <v>64.760000000000005</v>
      </c>
      <c r="G139" s="2">
        <v>64.760000000000005</v>
      </c>
      <c r="H139" s="4">
        <f t="shared" si="2"/>
        <v>2.0890322580645164</v>
      </c>
    </row>
    <row r="140" spans="1:8">
      <c r="A140" s="2" t="s">
        <v>11</v>
      </c>
      <c r="B140" s="2" t="s">
        <v>12</v>
      </c>
      <c r="C140" s="2">
        <v>10</v>
      </c>
      <c r="D140" s="2">
        <v>31</v>
      </c>
      <c r="E140" s="2">
        <v>829.25</v>
      </c>
      <c r="F140" s="2">
        <v>188.86</v>
      </c>
      <c r="G140" s="2">
        <v>1018.11</v>
      </c>
      <c r="H140" s="4">
        <f t="shared" si="2"/>
        <v>32.84225806451613</v>
      </c>
    </row>
    <row r="141" spans="1:8">
      <c r="A141" s="2" t="s">
        <v>13</v>
      </c>
      <c r="B141" s="2" t="s">
        <v>14</v>
      </c>
      <c r="C141" s="2">
        <v>10</v>
      </c>
      <c r="D141" s="2">
        <v>31</v>
      </c>
      <c r="E141" s="2"/>
      <c r="F141" s="2">
        <v>29.58</v>
      </c>
      <c r="G141" s="2">
        <v>29.58</v>
      </c>
      <c r="H141" s="4">
        <f t="shared" si="2"/>
        <v>0.95419354838709669</v>
      </c>
    </row>
    <row r="142" spans="1:8">
      <c r="A142" s="2" t="s">
        <v>15</v>
      </c>
      <c r="B142" s="2" t="s">
        <v>16</v>
      </c>
      <c r="C142" s="2">
        <v>10</v>
      </c>
      <c r="D142" s="2">
        <v>31</v>
      </c>
      <c r="E142" s="2"/>
      <c r="F142" s="2">
        <v>0</v>
      </c>
      <c r="G142" s="2">
        <v>0</v>
      </c>
      <c r="H142" s="4">
        <f t="shared" si="2"/>
        <v>0</v>
      </c>
    </row>
    <row r="143" spans="1:8">
      <c r="A143" s="2" t="s">
        <v>17</v>
      </c>
      <c r="B143" s="2" t="s">
        <v>18</v>
      </c>
      <c r="C143" s="2">
        <v>10</v>
      </c>
      <c r="D143" s="2">
        <v>31</v>
      </c>
      <c r="E143" s="2">
        <v>158.41</v>
      </c>
      <c r="F143" s="2">
        <v>103.52</v>
      </c>
      <c r="G143" s="2">
        <v>261.93</v>
      </c>
      <c r="H143" s="4">
        <f t="shared" si="2"/>
        <v>8.4493548387096773</v>
      </c>
    </row>
    <row r="144" spans="1:8">
      <c r="A144" s="2" t="s">
        <v>19</v>
      </c>
      <c r="B144" s="2" t="s">
        <v>20</v>
      </c>
      <c r="C144" s="2">
        <v>10</v>
      </c>
      <c r="D144" s="2">
        <v>31</v>
      </c>
      <c r="E144" s="2"/>
      <c r="F144" s="2">
        <v>90.16</v>
      </c>
      <c r="G144" s="2">
        <v>90.16</v>
      </c>
      <c r="H144" s="4">
        <f t="shared" si="2"/>
        <v>2.9083870967741934</v>
      </c>
    </row>
    <row r="145" spans="1:8">
      <c r="A145" s="2" t="s">
        <v>21</v>
      </c>
      <c r="B145" s="2" t="s">
        <v>22</v>
      </c>
      <c r="C145" s="2">
        <v>10</v>
      </c>
      <c r="D145" s="2">
        <v>31</v>
      </c>
      <c r="E145" s="2"/>
      <c r="F145" s="2">
        <v>1.23</v>
      </c>
      <c r="G145" s="2">
        <v>1.23</v>
      </c>
      <c r="H145" s="4">
        <f t="shared" si="2"/>
        <v>3.9677419354838712E-2</v>
      </c>
    </row>
    <row r="146" spans="1:8">
      <c r="A146" s="2" t="s">
        <v>23</v>
      </c>
      <c r="B146" s="2" t="s">
        <v>24</v>
      </c>
      <c r="C146" s="2">
        <v>10</v>
      </c>
      <c r="D146" s="2">
        <v>31</v>
      </c>
      <c r="E146" s="2"/>
      <c r="F146" s="2">
        <v>128.87</v>
      </c>
      <c r="G146" s="2">
        <v>128.87</v>
      </c>
      <c r="H146" s="4">
        <f t="shared" si="2"/>
        <v>4.1570967741935485</v>
      </c>
    </row>
    <row r="147" spans="1:8">
      <c r="A147" s="2" t="s">
        <v>25</v>
      </c>
      <c r="B147" s="2" t="s">
        <v>26</v>
      </c>
      <c r="C147" s="2">
        <v>10</v>
      </c>
      <c r="D147" s="2">
        <v>31</v>
      </c>
      <c r="E147" s="2"/>
      <c r="F147" s="2">
        <v>255.16</v>
      </c>
      <c r="G147" s="2">
        <v>255.16</v>
      </c>
      <c r="H147" s="4">
        <f t="shared" si="2"/>
        <v>8.2309677419354834</v>
      </c>
    </row>
    <row r="148" spans="1:8">
      <c r="A148" s="2" t="s">
        <v>27</v>
      </c>
      <c r="B148" s="2" t="s">
        <v>28</v>
      </c>
      <c r="C148" s="2">
        <v>10</v>
      </c>
      <c r="D148" s="2">
        <v>31</v>
      </c>
      <c r="E148" s="2"/>
      <c r="F148" s="2">
        <v>15.33</v>
      </c>
      <c r="G148" s="2">
        <v>15.33</v>
      </c>
      <c r="H148" s="4">
        <f t="shared" si="2"/>
        <v>0.49451612903225806</v>
      </c>
    </row>
    <row r="149" spans="1:8">
      <c r="A149" s="2" t="s">
        <v>29</v>
      </c>
      <c r="B149" s="2" t="s">
        <v>30</v>
      </c>
      <c r="C149" s="2">
        <v>10</v>
      </c>
      <c r="D149" s="2">
        <v>31</v>
      </c>
      <c r="E149" s="2"/>
      <c r="F149" s="2">
        <v>1.19</v>
      </c>
      <c r="G149" s="2">
        <v>1.19</v>
      </c>
      <c r="H149" s="4">
        <f t="shared" si="2"/>
        <v>3.8387096774193545E-2</v>
      </c>
    </row>
    <row r="150" spans="1:8">
      <c r="A150" s="2" t="s">
        <v>31</v>
      </c>
      <c r="B150" s="2" t="s">
        <v>32</v>
      </c>
      <c r="C150" s="2">
        <v>10</v>
      </c>
      <c r="D150" s="2">
        <v>31</v>
      </c>
      <c r="E150" s="2"/>
      <c r="F150" s="2">
        <v>167.42</v>
      </c>
      <c r="G150" s="2">
        <v>167.42</v>
      </c>
      <c r="H150" s="4">
        <f t="shared" si="2"/>
        <v>5.4006451612903223</v>
      </c>
    </row>
    <row r="151" spans="1:8">
      <c r="A151" s="2" t="s">
        <v>33</v>
      </c>
      <c r="B151" s="2" t="s">
        <v>34</v>
      </c>
      <c r="C151" s="2">
        <v>10</v>
      </c>
      <c r="D151" s="2">
        <v>31</v>
      </c>
      <c r="E151" s="2">
        <v>0</v>
      </c>
      <c r="F151" s="2">
        <v>25.68</v>
      </c>
      <c r="G151" s="2">
        <v>25.68</v>
      </c>
      <c r="H151" s="4">
        <f t="shared" si="2"/>
        <v>0.82838709677419353</v>
      </c>
    </row>
    <row r="152" spans="1:8">
      <c r="A152" s="2" t="s">
        <v>5</v>
      </c>
      <c r="B152" s="2" t="s">
        <v>6</v>
      </c>
      <c r="C152" s="2">
        <v>11</v>
      </c>
      <c r="D152" s="2">
        <v>30</v>
      </c>
      <c r="E152" s="2">
        <v>0</v>
      </c>
      <c r="F152" s="2">
        <v>87.24</v>
      </c>
      <c r="G152" s="2">
        <v>87.24</v>
      </c>
      <c r="H152" s="4">
        <f t="shared" si="2"/>
        <v>2.9079999999999999</v>
      </c>
    </row>
    <row r="153" spans="1:8">
      <c r="A153" s="2" t="s">
        <v>7</v>
      </c>
      <c r="B153" s="2" t="s">
        <v>8</v>
      </c>
      <c r="C153" s="2">
        <v>11</v>
      </c>
      <c r="D153" s="2">
        <v>30</v>
      </c>
      <c r="E153" s="2">
        <v>328.2</v>
      </c>
      <c r="F153" s="2">
        <v>116.02</v>
      </c>
      <c r="G153" s="2">
        <v>444.22</v>
      </c>
      <c r="H153" s="4">
        <f t="shared" si="2"/>
        <v>14.807333333333334</v>
      </c>
    </row>
    <row r="154" spans="1:8">
      <c r="A154" s="2" t="s">
        <v>9</v>
      </c>
      <c r="B154" s="2" t="s">
        <v>10</v>
      </c>
      <c r="C154" s="2">
        <v>11</v>
      </c>
      <c r="D154" s="2">
        <v>30</v>
      </c>
      <c r="E154" s="2"/>
      <c r="F154" s="2">
        <v>31.07</v>
      </c>
      <c r="G154" s="2">
        <v>31.07</v>
      </c>
      <c r="H154" s="4">
        <f t="shared" si="2"/>
        <v>1.0356666666666667</v>
      </c>
    </row>
    <row r="155" spans="1:8">
      <c r="A155" s="2" t="s">
        <v>11</v>
      </c>
      <c r="B155" s="2" t="s">
        <v>12</v>
      </c>
      <c r="C155" s="2">
        <v>11</v>
      </c>
      <c r="D155" s="2">
        <v>30</v>
      </c>
      <c r="E155" s="2">
        <v>1355.1</v>
      </c>
      <c r="F155" s="2">
        <v>118.85</v>
      </c>
      <c r="G155" s="2">
        <v>1473.95</v>
      </c>
      <c r="H155" s="4">
        <f t="shared" si="2"/>
        <v>49.131666666666668</v>
      </c>
    </row>
    <row r="156" spans="1:8">
      <c r="A156" s="2" t="s">
        <v>13</v>
      </c>
      <c r="B156" s="2" t="s">
        <v>14</v>
      </c>
      <c r="C156" s="2">
        <v>11</v>
      </c>
      <c r="D156" s="2">
        <v>30</v>
      </c>
      <c r="E156" s="2"/>
      <c r="F156" s="2">
        <v>19.12</v>
      </c>
      <c r="G156" s="2">
        <v>19.12</v>
      </c>
      <c r="H156" s="4">
        <f t="shared" si="2"/>
        <v>0.63733333333333342</v>
      </c>
    </row>
    <row r="157" spans="1:8">
      <c r="A157" s="2" t="s">
        <v>15</v>
      </c>
      <c r="B157" s="2" t="s">
        <v>16</v>
      </c>
      <c r="C157" s="2">
        <v>11</v>
      </c>
      <c r="D157" s="2">
        <v>30</v>
      </c>
      <c r="E157" s="2"/>
      <c r="F157" s="2">
        <v>0</v>
      </c>
      <c r="G157" s="2">
        <v>0</v>
      </c>
      <c r="H157" s="4">
        <f t="shared" si="2"/>
        <v>0</v>
      </c>
    </row>
    <row r="158" spans="1:8">
      <c r="A158" s="2" t="s">
        <v>17</v>
      </c>
      <c r="B158" s="2" t="s">
        <v>18</v>
      </c>
      <c r="C158" s="2">
        <v>11</v>
      </c>
      <c r="D158" s="2">
        <v>30</v>
      </c>
      <c r="E158" s="2">
        <v>354.3</v>
      </c>
      <c r="F158" s="2">
        <v>65.150000000000006</v>
      </c>
      <c r="G158" s="2">
        <v>419.45</v>
      </c>
      <c r="H158" s="4">
        <f t="shared" si="2"/>
        <v>13.981666666666666</v>
      </c>
    </row>
    <row r="159" spans="1:8">
      <c r="A159" s="2" t="s">
        <v>19</v>
      </c>
      <c r="B159" s="2" t="s">
        <v>20</v>
      </c>
      <c r="C159" s="2">
        <v>11</v>
      </c>
      <c r="D159" s="2">
        <v>30</v>
      </c>
      <c r="E159" s="2"/>
      <c r="F159" s="2">
        <v>55.53</v>
      </c>
      <c r="G159" s="2">
        <v>55.53</v>
      </c>
      <c r="H159" s="4">
        <f t="shared" si="2"/>
        <v>1.851</v>
      </c>
    </row>
    <row r="160" spans="1:8">
      <c r="A160" s="2" t="s">
        <v>21</v>
      </c>
      <c r="B160" s="2" t="s">
        <v>22</v>
      </c>
      <c r="C160" s="2">
        <v>11</v>
      </c>
      <c r="D160" s="2">
        <v>30</v>
      </c>
      <c r="E160" s="2"/>
      <c r="F160" s="2">
        <v>0.76</v>
      </c>
      <c r="G160" s="2">
        <v>0.76</v>
      </c>
      <c r="H160" s="4">
        <f t="shared" si="2"/>
        <v>2.5333333333333333E-2</v>
      </c>
    </row>
    <row r="161" spans="1:8">
      <c r="A161" s="2" t="s">
        <v>23</v>
      </c>
      <c r="B161" s="2" t="s">
        <v>24</v>
      </c>
      <c r="C161" s="2">
        <v>11</v>
      </c>
      <c r="D161" s="2">
        <v>30</v>
      </c>
      <c r="E161" s="2"/>
      <c r="F161" s="2">
        <v>79.36</v>
      </c>
      <c r="G161" s="2">
        <v>79.36</v>
      </c>
      <c r="H161" s="4">
        <f t="shared" si="2"/>
        <v>2.6453333333333333</v>
      </c>
    </row>
    <row r="162" spans="1:8">
      <c r="A162" s="2" t="s">
        <v>25</v>
      </c>
      <c r="B162" s="2" t="s">
        <v>26</v>
      </c>
      <c r="C162" s="2">
        <v>11</v>
      </c>
      <c r="D162" s="2">
        <v>30</v>
      </c>
      <c r="E162" s="2"/>
      <c r="F162" s="2">
        <v>122.44</v>
      </c>
      <c r="G162" s="2">
        <v>122.44</v>
      </c>
      <c r="H162" s="4">
        <f t="shared" si="2"/>
        <v>4.0813333333333333</v>
      </c>
    </row>
    <row r="163" spans="1:8">
      <c r="A163" s="2" t="s">
        <v>27</v>
      </c>
      <c r="B163" s="2" t="s">
        <v>28</v>
      </c>
      <c r="C163" s="2">
        <v>11</v>
      </c>
      <c r="D163" s="2">
        <v>30</v>
      </c>
      <c r="E163" s="2"/>
      <c r="F163" s="2">
        <v>9.44</v>
      </c>
      <c r="G163" s="2">
        <v>9.44</v>
      </c>
      <c r="H163" s="4">
        <f t="shared" si="2"/>
        <v>0.31466666666666665</v>
      </c>
    </row>
    <row r="164" spans="1:8">
      <c r="A164" s="2" t="s">
        <v>29</v>
      </c>
      <c r="B164" s="2" t="s">
        <v>30</v>
      </c>
      <c r="C164" s="2">
        <v>11</v>
      </c>
      <c r="D164" s="2">
        <v>30</v>
      </c>
      <c r="E164" s="2"/>
      <c r="F164" s="2">
        <v>0.77</v>
      </c>
      <c r="G164" s="2">
        <v>0.77</v>
      </c>
      <c r="H164" s="4">
        <f t="shared" si="2"/>
        <v>2.5666666666666667E-2</v>
      </c>
    </row>
    <row r="165" spans="1:8">
      <c r="A165" s="2" t="s">
        <v>31</v>
      </c>
      <c r="B165" s="2" t="s">
        <v>32</v>
      </c>
      <c r="C165" s="2">
        <v>11</v>
      </c>
      <c r="D165" s="2">
        <v>30</v>
      </c>
      <c r="E165" s="2"/>
      <c r="F165" s="2">
        <v>105.58</v>
      </c>
      <c r="G165" s="2">
        <v>105.58</v>
      </c>
      <c r="H165" s="4">
        <f t="shared" si="2"/>
        <v>3.5193333333333334</v>
      </c>
    </row>
    <row r="166" spans="1:8">
      <c r="A166" s="2" t="s">
        <v>33</v>
      </c>
      <c r="B166" s="2" t="s">
        <v>34</v>
      </c>
      <c r="C166" s="2">
        <v>11</v>
      </c>
      <c r="D166" s="2">
        <v>30</v>
      </c>
      <c r="E166" s="2">
        <v>0</v>
      </c>
      <c r="F166" s="2">
        <v>15.82</v>
      </c>
      <c r="G166" s="2">
        <v>15.82</v>
      </c>
      <c r="H166" s="4">
        <f t="shared" si="2"/>
        <v>0.52733333333333332</v>
      </c>
    </row>
    <row r="167" spans="1:8">
      <c r="A167" s="2" t="s">
        <v>5</v>
      </c>
      <c r="B167" s="2" t="s">
        <v>6</v>
      </c>
      <c r="C167" s="2">
        <v>12</v>
      </c>
      <c r="D167" s="2">
        <v>31</v>
      </c>
      <c r="E167" s="2">
        <v>0</v>
      </c>
      <c r="F167" s="2">
        <v>84.21</v>
      </c>
      <c r="G167" s="2">
        <v>84.21</v>
      </c>
      <c r="H167" s="4">
        <f t="shared" si="2"/>
        <v>2.7164516129032257</v>
      </c>
    </row>
    <row r="168" spans="1:8">
      <c r="A168" s="2" t="s">
        <v>7</v>
      </c>
      <c r="B168" s="2" t="s">
        <v>8</v>
      </c>
      <c r="C168" s="2">
        <v>12</v>
      </c>
      <c r="D168" s="2">
        <v>31</v>
      </c>
      <c r="E168" s="2">
        <v>119.35</v>
      </c>
      <c r="F168" s="2">
        <v>106.97</v>
      </c>
      <c r="G168" s="2">
        <v>226.32</v>
      </c>
      <c r="H168" s="4">
        <f t="shared" si="2"/>
        <v>7.3006451612903227</v>
      </c>
    </row>
    <row r="169" spans="1:8">
      <c r="A169" s="2" t="s">
        <v>9</v>
      </c>
      <c r="B169" s="2" t="s">
        <v>10</v>
      </c>
      <c r="C169" s="2">
        <v>12</v>
      </c>
      <c r="D169" s="2">
        <v>31</v>
      </c>
      <c r="E169" s="2"/>
      <c r="F169" s="2">
        <v>37.17</v>
      </c>
      <c r="G169" s="2">
        <v>37.17</v>
      </c>
      <c r="H169" s="4">
        <f t="shared" si="2"/>
        <v>1.1990322580645161</v>
      </c>
    </row>
    <row r="170" spans="1:8">
      <c r="A170" s="2" t="s">
        <v>11</v>
      </c>
      <c r="B170" s="2" t="s">
        <v>12</v>
      </c>
      <c r="C170" s="2">
        <v>12</v>
      </c>
      <c r="D170" s="2">
        <v>31</v>
      </c>
      <c r="E170" s="2">
        <v>122.45</v>
      </c>
      <c r="F170" s="2">
        <v>109.58</v>
      </c>
      <c r="G170" s="2">
        <v>232.03</v>
      </c>
      <c r="H170" s="4">
        <f t="shared" si="2"/>
        <v>7.4848387096774198</v>
      </c>
    </row>
    <row r="171" spans="1:8">
      <c r="A171" s="2" t="s">
        <v>13</v>
      </c>
      <c r="B171" s="2" t="s">
        <v>14</v>
      </c>
      <c r="C171" s="2">
        <v>12</v>
      </c>
      <c r="D171" s="2">
        <v>31</v>
      </c>
      <c r="E171" s="2"/>
      <c r="F171" s="2">
        <v>18.399999999999999</v>
      </c>
      <c r="G171" s="2">
        <v>18.399999999999999</v>
      </c>
      <c r="H171" s="4">
        <f t="shared" si="2"/>
        <v>0.59354838709677415</v>
      </c>
    </row>
    <row r="172" spans="1:8">
      <c r="A172" s="2" t="s">
        <v>15</v>
      </c>
      <c r="B172" s="2" t="s">
        <v>16</v>
      </c>
      <c r="C172" s="2">
        <v>12</v>
      </c>
      <c r="D172" s="2">
        <v>31</v>
      </c>
      <c r="E172" s="2"/>
      <c r="F172" s="2">
        <v>0</v>
      </c>
      <c r="G172" s="2">
        <v>0</v>
      </c>
      <c r="H172" s="4">
        <f t="shared" si="2"/>
        <v>0</v>
      </c>
    </row>
    <row r="173" spans="1:8">
      <c r="A173" s="2" t="s">
        <v>17</v>
      </c>
      <c r="B173" s="2" t="s">
        <v>18</v>
      </c>
      <c r="C173" s="2">
        <v>12</v>
      </c>
      <c r="D173" s="2">
        <v>31</v>
      </c>
      <c r="E173" s="2">
        <v>86.49</v>
      </c>
      <c r="F173" s="2">
        <v>60.06</v>
      </c>
      <c r="G173" s="2">
        <v>146.55000000000001</v>
      </c>
      <c r="H173" s="4">
        <f t="shared" si="2"/>
        <v>4.7274193548387098</v>
      </c>
    </row>
    <row r="174" spans="1:8">
      <c r="A174" s="2" t="s">
        <v>19</v>
      </c>
      <c r="B174" s="2" t="s">
        <v>20</v>
      </c>
      <c r="C174" s="2">
        <v>12</v>
      </c>
      <c r="D174" s="2">
        <v>31</v>
      </c>
      <c r="E174" s="2"/>
      <c r="F174" s="2">
        <v>49.26</v>
      </c>
      <c r="G174" s="2">
        <v>49.26</v>
      </c>
      <c r="H174" s="4">
        <f t="shared" si="2"/>
        <v>1.589032258064516</v>
      </c>
    </row>
    <row r="175" spans="1:8">
      <c r="A175" s="2" t="s">
        <v>21</v>
      </c>
      <c r="B175" s="2" t="s">
        <v>22</v>
      </c>
      <c r="C175" s="2">
        <v>12</v>
      </c>
      <c r="D175" s="2">
        <v>31</v>
      </c>
      <c r="E175" s="2"/>
      <c r="F175" s="2">
        <v>0.67</v>
      </c>
      <c r="G175" s="2">
        <v>0.67</v>
      </c>
      <c r="H175" s="4">
        <f t="shared" si="2"/>
        <v>2.1612903225806453E-2</v>
      </c>
    </row>
    <row r="176" spans="1:8">
      <c r="A176" s="2" t="s">
        <v>23</v>
      </c>
      <c r="B176" s="2" t="s">
        <v>24</v>
      </c>
      <c r="C176" s="2">
        <v>12</v>
      </c>
      <c r="D176" s="2">
        <v>31</v>
      </c>
      <c r="E176" s="2"/>
      <c r="F176" s="2">
        <v>70.400000000000006</v>
      </c>
      <c r="G176" s="2">
        <v>70.400000000000006</v>
      </c>
      <c r="H176" s="4">
        <f t="shared" si="2"/>
        <v>2.2709677419354839</v>
      </c>
    </row>
    <row r="177" spans="1:8">
      <c r="A177" s="2" t="s">
        <v>25</v>
      </c>
      <c r="B177" s="2" t="s">
        <v>26</v>
      </c>
      <c r="C177" s="2">
        <v>12</v>
      </c>
      <c r="D177" s="2">
        <v>31</v>
      </c>
      <c r="E177" s="2"/>
      <c r="F177" s="2">
        <v>146.46</v>
      </c>
      <c r="G177" s="2">
        <v>146.46</v>
      </c>
      <c r="H177" s="4">
        <f t="shared" si="2"/>
        <v>4.7245161290322581</v>
      </c>
    </row>
    <row r="178" spans="1:8">
      <c r="A178" s="2" t="s">
        <v>27</v>
      </c>
      <c r="B178" s="2" t="s">
        <v>28</v>
      </c>
      <c r="C178" s="2">
        <v>12</v>
      </c>
      <c r="D178" s="2">
        <v>31</v>
      </c>
      <c r="E178" s="2"/>
      <c r="F178" s="2">
        <v>8.3699999999999992</v>
      </c>
      <c r="G178" s="2">
        <v>8.3699999999999992</v>
      </c>
      <c r="H178" s="4">
        <f t="shared" si="2"/>
        <v>0.26999999999999996</v>
      </c>
    </row>
    <row r="179" spans="1:8">
      <c r="A179" s="2" t="s">
        <v>29</v>
      </c>
      <c r="B179" s="2" t="s">
        <v>30</v>
      </c>
      <c r="C179" s="2">
        <v>12</v>
      </c>
      <c r="D179" s="2">
        <v>31</v>
      </c>
      <c r="E179" s="2"/>
      <c r="F179" s="2">
        <v>0.74</v>
      </c>
      <c r="G179" s="2">
        <v>0.74</v>
      </c>
      <c r="H179" s="4">
        <f t="shared" si="2"/>
        <v>2.3870967741935485E-2</v>
      </c>
    </row>
    <row r="180" spans="1:8">
      <c r="A180" s="2" t="s">
        <v>31</v>
      </c>
      <c r="B180" s="2" t="s">
        <v>32</v>
      </c>
      <c r="C180" s="2">
        <v>12</v>
      </c>
      <c r="D180" s="2">
        <v>31</v>
      </c>
      <c r="E180" s="2"/>
      <c r="F180" s="2">
        <v>103.77</v>
      </c>
      <c r="G180" s="2">
        <v>103.77</v>
      </c>
      <c r="H180" s="4">
        <f t="shared" si="2"/>
        <v>3.3474193548387094</v>
      </c>
    </row>
    <row r="181" spans="1:8">
      <c r="A181" s="2" t="s">
        <v>33</v>
      </c>
      <c r="B181" s="2" t="s">
        <v>34</v>
      </c>
      <c r="C181" s="2">
        <v>12</v>
      </c>
      <c r="D181" s="2">
        <v>31</v>
      </c>
      <c r="E181" s="2">
        <v>0</v>
      </c>
      <c r="F181" s="2">
        <v>14.03</v>
      </c>
      <c r="G181" s="2">
        <v>14.03</v>
      </c>
      <c r="H181" s="4">
        <f t="shared" si="2"/>
        <v>0.45258064516129032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Tianli Zeng</cp:lastModifiedBy>
  <dcterms:created xsi:type="dcterms:W3CDTF">2025-09-03T06:47:41Z</dcterms:created>
  <dcterms:modified xsi:type="dcterms:W3CDTF">2025-09-05T01:10:29Z</dcterms:modified>
</cp:coreProperties>
</file>